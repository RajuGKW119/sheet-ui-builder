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Summary" sheetId="2" state="visible" r:id="rId4"/>
  </sheets>
  <definedNames>
    <definedName function="false" hidden="true" localSheetId="0" name="_xlnm._FilterDatabase" vbProcedure="false">Orders!$A$1:$O$201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<sst xmlns="http://schemas.openxmlformats.org/spreadsheetml/2006/main" count="2023" uniqueCount="404">
  <si>
    <t xml:space="preserve">Order ID</t>
  </si>
  <si>
    <t xml:space="preserve">Order Date</t>
  </si>
  <si>
    <t xml:space="preserve">Customer Name</t>
  </si>
  <si>
    <t xml:space="preserve">City</t>
  </si>
  <si>
    <t xml:space="preserve">State</t>
  </si>
  <si>
    <t xml:space="preserve">Channel</t>
  </si>
  <si>
    <t xml:space="preserve">Customer Tier</t>
  </si>
  <si>
    <t xml:space="preserve">Product Name</t>
  </si>
  <si>
    <t xml:space="preserve">Category</t>
  </si>
  <si>
    <t xml:space="preserve">Quantity</t>
  </si>
  <si>
    <t xml:space="preserve">Unit Price (₹)</t>
  </si>
  <si>
    <t xml:space="preserve">Total Revenue (₹)</t>
  </si>
  <si>
    <t xml:space="preserve">Status</t>
  </si>
  <si>
    <t xml:space="preserve">Is Returned</t>
  </si>
  <si>
    <t xml:space="preserve">Rating</t>
  </si>
  <si>
    <t xml:space="preserve">ORD-10002</t>
  </si>
  <si>
    <t xml:space="preserve">Sneha Sharma</t>
  </si>
  <si>
    <t xml:space="preserve">Hyderabad</t>
  </si>
  <si>
    <t xml:space="preserve">Telangana</t>
  </si>
  <si>
    <t xml:space="preserve">App</t>
  </si>
  <si>
    <t xml:space="preserve">Silver</t>
  </si>
  <si>
    <t xml:space="preserve">Yoga Mat</t>
  </si>
  <si>
    <t xml:space="preserve">Sports</t>
  </si>
  <si>
    <t xml:space="preserve">Delivered</t>
  </si>
  <si>
    <t xml:space="preserve">No</t>
  </si>
  <si>
    <t xml:space="preserve">ORD-10003</t>
  </si>
  <si>
    <t xml:space="preserve">Amit Singh</t>
  </si>
  <si>
    <t xml:space="preserve">Chennai</t>
  </si>
  <si>
    <t xml:space="preserve">Tamil Nadu</t>
  </si>
  <si>
    <t xml:space="preserve">WhatsApp</t>
  </si>
  <si>
    <t xml:space="preserve">Bronze</t>
  </si>
  <si>
    <t xml:space="preserve">Wireless Headphones</t>
  </si>
  <si>
    <t xml:space="preserve">Electronics</t>
  </si>
  <si>
    <t xml:space="preserve">Cancelled</t>
  </si>
  <si>
    <t xml:space="preserve">ORD-10004</t>
  </si>
  <si>
    <t xml:space="preserve">Pooja Singh</t>
  </si>
  <si>
    <t xml:space="preserve">Ahmedabad</t>
  </si>
  <si>
    <t xml:space="preserve">Gujarat</t>
  </si>
  <si>
    <t xml:space="preserve">Air Purifier</t>
  </si>
  <si>
    <t xml:space="preserve">Appliances</t>
  </si>
  <si>
    <t xml:space="preserve">Returned</t>
  </si>
  <si>
    <t xml:space="preserve">Yes</t>
  </si>
  <si>
    <t xml:space="preserve">ORD-10005</t>
  </si>
  <si>
    <t xml:space="preserve">Pooja Nair</t>
  </si>
  <si>
    <t xml:space="preserve">ORD-10006</t>
  </si>
  <si>
    <t xml:space="preserve">Deepa Reddy</t>
  </si>
  <si>
    <t xml:space="preserve">Mumbai</t>
  </si>
  <si>
    <t xml:space="preserve">Maharashtra</t>
  </si>
  <si>
    <t xml:space="preserve">Website</t>
  </si>
  <si>
    <t xml:space="preserve">Running Shoes</t>
  </si>
  <si>
    <t xml:space="preserve">Footwear</t>
  </si>
  <si>
    <t xml:space="preserve">Processing</t>
  </si>
  <si>
    <t xml:space="preserve">ORD-10007</t>
  </si>
  <si>
    <t xml:space="preserve">Deepa Nair</t>
  </si>
  <si>
    <t xml:space="preserve">Gold</t>
  </si>
  <si>
    <t xml:space="preserve">Protein Powder</t>
  </si>
  <si>
    <t xml:space="preserve">Health</t>
  </si>
  <si>
    <t xml:space="preserve">ORD-10008</t>
  </si>
  <si>
    <t xml:space="preserve">Arjun Gupta</t>
  </si>
  <si>
    <t xml:space="preserve">Pune</t>
  </si>
  <si>
    <t xml:space="preserve">Smartwatch</t>
  </si>
  <si>
    <t xml:space="preserve">ORD-10009</t>
  </si>
  <si>
    <t xml:space="preserve">Amit Iyer</t>
  </si>
  <si>
    <t xml:space="preserve">Bangalore</t>
  </si>
  <si>
    <t xml:space="preserve">Karnataka</t>
  </si>
  <si>
    <t xml:space="preserve">Coffee Maker</t>
  </si>
  <si>
    <t xml:space="preserve">Shipped</t>
  </si>
  <si>
    <t xml:space="preserve">ORD-10010</t>
  </si>
  <si>
    <t xml:space="preserve">Kavya Singh</t>
  </si>
  <si>
    <t xml:space="preserve">Sneakers</t>
  </si>
  <si>
    <t xml:space="preserve">ORD-10011</t>
  </si>
  <si>
    <t xml:space="preserve">Sanjay Nair</t>
  </si>
  <si>
    <t xml:space="preserve">Face Cream</t>
  </si>
  <si>
    <t xml:space="preserve">Beauty</t>
  </si>
  <si>
    <t xml:space="preserve">ORD-10012</t>
  </si>
  <si>
    <t xml:space="preserve">Kavya Reddy</t>
  </si>
  <si>
    <t xml:space="preserve">Kolkata</t>
  </si>
  <si>
    <t xml:space="preserve">West Bengal</t>
  </si>
  <si>
    <t xml:space="preserve">ORD-10013</t>
  </si>
  <si>
    <t xml:space="preserve">Sneha Kumar</t>
  </si>
  <si>
    <t xml:space="preserve">ORD-10014</t>
  </si>
  <si>
    <t xml:space="preserve">Arjun Mehta</t>
  </si>
  <si>
    <t xml:space="preserve">ORD-10015</t>
  </si>
  <si>
    <t xml:space="preserve">Suresh Patel</t>
  </si>
  <si>
    <t xml:space="preserve">Bluetooth Speaker</t>
  </si>
  <si>
    <t xml:space="preserve">ORD-10016</t>
  </si>
  <si>
    <t xml:space="preserve">Anjali Mehta</t>
  </si>
  <si>
    <t xml:space="preserve">Delhi</t>
  </si>
  <si>
    <t xml:space="preserve">Desk Lamp</t>
  </si>
  <si>
    <t xml:space="preserve">Home Decor</t>
  </si>
  <si>
    <t xml:space="preserve">ORD-10017</t>
  </si>
  <si>
    <t xml:space="preserve">Nikhil Sharma</t>
  </si>
  <si>
    <t xml:space="preserve">ORD-10018</t>
  </si>
  <si>
    <t xml:space="preserve">Amit Gupta</t>
  </si>
  <si>
    <t xml:space="preserve">ORD-10019</t>
  </si>
  <si>
    <t xml:space="preserve">Kiran Mehta</t>
  </si>
  <si>
    <t xml:space="preserve">ORD-10020</t>
  </si>
  <si>
    <t xml:space="preserve">Neha Patel</t>
  </si>
  <si>
    <t xml:space="preserve">ORD-10021</t>
  </si>
  <si>
    <t xml:space="preserve">Priya Singh</t>
  </si>
  <si>
    <t xml:space="preserve">ORD-10022</t>
  </si>
  <si>
    <t xml:space="preserve">Vikram Iyer</t>
  </si>
  <si>
    <t xml:space="preserve">ORD-10023</t>
  </si>
  <si>
    <t xml:space="preserve">Pooja Joshi</t>
  </si>
  <si>
    <t xml:space="preserve">ORD-10024</t>
  </si>
  <si>
    <t xml:space="preserve">Neha Singh</t>
  </si>
  <si>
    <t xml:space="preserve">ORD-10025</t>
  </si>
  <si>
    <t xml:space="preserve">Kavya Patel</t>
  </si>
  <si>
    <t xml:space="preserve">ORD-10026</t>
  </si>
  <si>
    <t xml:space="preserve">Ravi Sharma</t>
  </si>
  <si>
    <t xml:space="preserve">Water Bottle</t>
  </si>
  <si>
    <t xml:space="preserve">ORD-10027</t>
  </si>
  <si>
    <t xml:space="preserve">Divya Joshi</t>
  </si>
  <si>
    <t xml:space="preserve">Backpack</t>
  </si>
  <si>
    <t xml:space="preserve">Accessories</t>
  </si>
  <si>
    <t xml:space="preserve">ORD-10028</t>
  </si>
  <si>
    <t xml:space="preserve">Suresh Sharma</t>
  </si>
  <si>
    <t xml:space="preserve">ORD-10029</t>
  </si>
  <si>
    <t xml:space="preserve">ORD-10030</t>
  </si>
  <si>
    <t xml:space="preserve">Amit Joshi</t>
  </si>
  <si>
    <t xml:space="preserve">ORD-10031</t>
  </si>
  <si>
    <t xml:space="preserve">Divya Gupta</t>
  </si>
  <si>
    <t xml:space="preserve">ORD-10032</t>
  </si>
  <si>
    <t xml:space="preserve">Arjun Kumar</t>
  </si>
  <si>
    <t xml:space="preserve">ORD-10033</t>
  </si>
  <si>
    <t xml:space="preserve">Divya Iyer</t>
  </si>
  <si>
    <t xml:space="preserve">ORD-10034</t>
  </si>
  <si>
    <t xml:space="preserve">Vikram Reddy</t>
  </si>
  <si>
    <t xml:space="preserve">Notebook Set</t>
  </si>
  <si>
    <t xml:space="preserve">Stationery</t>
  </si>
  <si>
    <t xml:space="preserve">ORD-10035</t>
  </si>
  <si>
    <t xml:space="preserve">Nikhil Gupta</t>
  </si>
  <si>
    <t xml:space="preserve">ORD-10036</t>
  </si>
  <si>
    <t xml:space="preserve">ORD-10037</t>
  </si>
  <si>
    <t xml:space="preserve">Kavya Sharma</t>
  </si>
  <si>
    <t xml:space="preserve">ORD-10038</t>
  </si>
  <si>
    <t xml:space="preserve">Kiran Singh</t>
  </si>
  <si>
    <t xml:space="preserve">ORD-10039</t>
  </si>
  <si>
    <t xml:space="preserve">Rahul Kumar</t>
  </si>
  <si>
    <t xml:space="preserve">ORD-10040</t>
  </si>
  <si>
    <t xml:space="preserve">Priya Gupta</t>
  </si>
  <si>
    <t xml:space="preserve">ORD-10041</t>
  </si>
  <si>
    <t xml:space="preserve">Suresh Reddy</t>
  </si>
  <si>
    <t xml:space="preserve">ORD-10042</t>
  </si>
  <si>
    <t xml:space="preserve">Sunglasses</t>
  </si>
  <si>
    <t xml:space="preserve">ORD-10043</t>
  </si>
  <si>
    <t xml:space="preserve">Pooja Iyer</t>
  </si>
  <si>
    <t xml:space="preserve">ORD-10044</t>
  </si>
  <si>
    <t xml:space="preserve">ORD-10045</t>
  </si>
  <si>
    <t xml:space="preserve">Nikhil Reddy</t>
  </si>
  <si>
    <t xml:space="preserve">ORD-10046</t>
  </si>
  <si>
    <t xml:space="preserve">Anjali Iyer</t>
  </si>
  <si>
    <t xml:space="preserve">ORD-10047</t>
  </si>
  <si>
    <t xml:space="preserve">Suresh Gupta</t>
  </si>
  <si>
    <t xml:space="preserve">ORD-10048</t>
  </si>
  <si>
    <t xml:space="preserve">Amit Reddy</t>
  </si>
  <si>
    <t xml:space="preserve">ORD-10049</t>
  </si>
  <si>
    <t xml:space="preserve">Vikram Sharma</t>
  </si>
  <si>
    <t xml:space="preserve">ORD-10050</t>
  </si>
  <si>
    <t xml:space="preserve">Kiran Joshi</t>
  </si>
  <si>
    <t xml:space="preserve">ORD-10051</t>
  </si>
  <si>
    <t xml:space="preserve">Neha Kumar</t>
  </si>
  <si>
    <t xml:space="preserve">ORD-10052</t>
  </si>
  <si>
    <t xml:space="preserve">Kavya Iyer</t>
  </si>
  <si>
    <t xml:space="preserve">ORD-10053</t>
  </si>
  <si>
    <t xml:space="preserve">Arun Kumar</t>
  </si>
  <si>
    <t xml:space="preserve">ORD-10054</t>
  </si>
  <si>
    <t xml:space="preserve">Neha Reddy</t>
  </si>
  <si>
    <t xml:space="preserve">ORD-10055</t>
  </si>
  <si>
    <t xml:space="preserve">Vikram Kumar</t>
  </si>
  <si>
    <t xml:space="preserve">ORD-10056</t>
  </si>
  <si>
    <t xml:space="preserve">Arun Joshi</t>
  </si>
  <si>
    <t xml:space="preserve">ORD-10057</t>
  </si>
  <si>
    <t xml:space="preserve">Shruti Sharma</t>
  </si>
  <si>
    <t xml:space="preserve">ORD-10058</t>
  </si>
  <si>
    <t xml:space="preserve">Neha Gupta</t>
  </si>
  <si>
    <t xml:space="preserve">ORD-10059</t>
  </si>
  <si>
    <t xml:space="preserve">ORD-10060</t>
  </si>
  <si>
    <t xml:space="preserve">Anjali Sharma</t>
  </si>
  <si>
    <t xml:space="preserve">ORD-10061</t>
  </si>
  <si>
    <t xml:space="preserve">Pooja Reddy</t>
  </si>
  <si>
    <t xml:space="preserve">ORD-10062</t>
  </si>
  <si>
    <t xml:space="preserve">Priya Sharma</t>
  </si>
  <si>
    <t xml:space="preserve">ORD-10063</t>
  </si>
  <si>
    <t xml:space="preserve">Kiran Gupta</t>
  </si>
  <si>
    <t xml:space="preserve">ORD-10064</t>
  </si>
  <si>
    <t xml:space="preserve">Divya Patel</t>
  </si>
  <si>
    <t xml:space="preserve">ORD-10065</t>
  </si>
  <si>
    <t xml:space="preserve">ORD-10066</t>
  </si>
  <si>
    <t xml:space="preserve">Meera Patel</t>
  </si>
  <si>
    <t xml:space="preserve">ORD-10067</t>
  </si>
  <si>
    <t xml:space="preserve">ORD-10068</t>
  </si>
  <si>
    <t xml:space="preserve">Shruti Gupta</t>
  </si>
  <si>
    <t xml:space="preserve">ORD-10069</t>
  </si>
  <si>
    <t xml:space="preserve">Sanjay Iyer</t>
  </si>
  <si>
    <t xml:space="preserve">ORD-10070</t>
  </si>
  <si>
    <t xml:space="preserve">ORD-10071</t>
  </si>
  <si>
    <t xml:space="preserve">ORD-10072</t>
  </si>
  <si>
    <t xml:space="preserve">ORD-10073</t>
  </si>
  <si>
    <t xml:space="preserve">Divya Reddy</t>
  </si>
  <si>
    <t xml:space="preserve">ORD-10074</t>
  </si>
  <si>
    <t xml:space="preserve">Anjali Singh</t>
  </si>
  <si>
    <t xml:space="preserve">ORD-10075</t>
  </si>
  <si>
    <t xml:space="preserve">Kiran Reddy</t>
  </si>
  <si>
    <t xml:space="preserve">ORD-10076</t>
  </si>
  <si>
    <t xml:space="preserve">Divya Kumar</t>
  </si>
  <si>
    <t xml:space="preserve">ORD-10077</t>
  </si>
  <si>
    <t xml:space="preserve">Priya Reddy</t>
  </si>
  <si>
    <t xml:space="preserve">ORD-10078</t>
  </si>
  <si>
    <t xml:space="preserve">ORD-10079</t>
  </si>
  <si>
    <t xml:space="preserve">Neha Mehta</t>
  </si>
  <si>
    <t xml:space="preserve">ORD-10080</t>
  </si>
  <si>
    <t xml:space="preserve">Sneha Singh</t>
  </si>
  <si>
    <t xml:space="preserve">ORD-10081</t>
  </si>
  <si>
    <t xml:space="preserve">Pooja Gupta</t>
  </si>
  <si>
    <t xml:space="preserve">ORD-10082</t>
  </si>
  <si>
    <t xml:space="preserve">ORD-10083</t>
  </si>
  <si>
    <t xml:space="preserve">Priya Kumar</t>
  </si>
  <si>
    <t xml:space="preserve">ORD-10084</t>
  </si>
  <si>
    <t xml:space="preserve">ORD-10085</t>
  </si>
  <si>
    <t xml:space="preserve">Suresh Iyer</t>
  </si>
  <si>
    <t xml:space="preserve">ORD-10086</t>
  </si>
  <si>
    <t xml:space="preserve">Sanjay Sharma</t>
  </si>
  <si>
    <t xml:space="preserve">ORD-10087</t>
  </si>
  <si>
    <t xml:space="preserve">Shruti Patel</t>
  </si>
  <si>
    <t xml:space="preserve">ORD-10088</t>
  </si>
  <si>
    <t xml:space="preserve">Suresh Joshi</t>
  </si>
  <si>
    <t xml:space="preserve">ORD-10089</t>
  </si>
  <si>
    <t xml:space="preserve">ORD-10090</t>
  </si>
  <si>
    <t xml:space="preserve">Meera Iyer</t>
  </si>
  <si>
    <t xml:space="preserve">ORD-10091</t>
  </si>
  <si>
    <t xml:space="preserve">ORD-10092</t>
  </si>
  <si>
    <t xml:space="preserve">ORD-10093</t>
  </si>
  <si>
    <t xml:space="preserve">Arjun Joshi</t>
  </si>
  <si>
    <t xml:space="preserve">ORD-10094</t>
  </si>
  <si>
    <t xml:space="preserve">Nikhil Kumar</t>
  </si>
  <si>
    <t xml:space="preserve">ORD-10095</t>
  </si>
  <si>
    <t xml:space="preserve">ORD-10096</t>
  </si>
  <si>
    <t xml:space="preserve">Arun Nair</t>
  </si>
  <si>
    <t xml:space="preserve">ORD-10097</t>
  </si>
  <si>
    <t xml:space="preserve">Priya Nair</t>
  </si>
  <si>
    <t xml:space="preserve">ORD-10098</t>
  </si>
  <si>
    <t xml:space="preserve">Sneha Gupta</t>
  </si>
  <si>
    <t xml:space="preserve">ORD-10099</t>
  </si>
  <si>
    <t xml:space="preserve">Vikram Patel</t>
  </si>
  <si>
    <t xml:space="preserve">ORD-10100</t>
  </si>
  <si>
    <t xml:space="preserve">Ravi Nair</t>
  </si>
  <si>
    <t xml:space="preserve">ORD-10101</t>
  </si>
  <si>
    <t xml:space="preserve">ORD-10102</t>
  </si>
  <si>
    <t xml:space="preserve">ORD-10103</t>
  </si>
  <si>
    <t xml:space="preserve">Anjali Kumar</t>
  </si>
  <si>
    <t xml:space="preserve">ORD-10104</t>
  </si>
  <si>
    <t xml:space="preserve">Vikram Singh</t>
  </si>
  <si>
    <t xml:space="preserve">ORD-10105</t>
  </si>
  <si>
    <t xml:space="preserve">ORD-10106</t>
  </si>
  <si>
    <t xml:space="preserve">Neha Joshi</t>
  </si>
  <si>
    <t xml:space="preserve">ORD-10107</t>
  </si>
  <si>
    <t xml:space="preserve">Ravi Reddy</t>
  </si>
  <si>
    <t xml:space="preserve">ORD-10108</t>
  </si>
  <si>
    <t xml:space="preserve">Neha Iyer</t>
  </si>
  <si>
    <t xml:space="preserve">ORD-10109</t>
  </si>
  <si>
    <t xml:space="preserve">ORD-10110</t>
  </si>
  <si>
    <t xml:space="preserve">ORD-10111</t>
  </si>
  <si>
    <t xml:space="preserve">Anjali Reddy</t>
  </si>
  <si>
    <t xml:space="preserve">ORD-10112</t>
  </si>
  <si>
    <t xml:space="preserve">ORD-10113</t>
  </si>
  <si>
    <t xml:space="preserve">Arjun Iyer</t>
  </si>
  <si>
    <t xml:space="preserve">ORD-10114</t>
  </si>
  <si>
    <t xml:space="preserve">Deepa Singh</t>
  </si>
  <si>
    <t xml:space="preserve">ORD-10115</t>
  </si>
  <si>
    <t xml:space="preserve">ORD-10116</t>
  </si>
  <si>
    <t xml:space="preserve">Kavya Joshi</t>
  </si>
  <si>
    <t xml:space="preserve">ORD-10117</t>
  </si>
  <si>
    <t xml:space="preserve">ORD-10118</t>
  </si>
  <si>
    <t xml:space="preserve">Meera Sharma</t>
  </si>
  <si>
    <t xml:space="preserve">ORD-10119</t>
  </si>
  <si>
    <t xml:space="preserve">Deepa Sharma</t>
  </si>
  <si>
    <t xml:space="preserve">ORD-10120</t>
  </si>
  <si>
    <t xml:space="preserve">Sanjay Singh</t>
  </si>
  <si>
    <t xml:space="preserve">ORD-10121</t>
  </si>
  <si>
    <t xml:space="preserve">ORD-10122</t>
  </si>
  <si>
    <t xml:space="preserve">ORD-10123</t>
  </si>
  <si>
    <t xml:space="preserve">Meera Mehta</t>
  </si>
  <si>
    <t xml:space="preserve">ORD-10124</t>
  </si>
  <si>
    <t xml:space="preserve">ORD-10125</t>
  </si>
  <si>
    <t xml:space="preserve">Arun Patel</t>
  </si>
  <si>
    <t xml:space="preserve">ORD-10126</t>
  </si>
  <si>
    <t xml:space="preserve">ORD-10127</t>
  </si>
  <si>
    <t xml:space="preserve">Sneha Mehta</t>
  </si>
  <si>
    <t xml:space="preserve">ORD-10128</t>
  </si>
  <si>
    <t xml:space="preserve">Sneha Nair</t>
  </si>
  <si>
    <t xml:space="preserve">ORD-10129</t>
  </si>
  <si>
    <t xml:space="preserve">Amit Patel</t>
  </si>
  <si>
    <t xml:space="preserve">ORD-10130</t>
  </si>
  <si>
    <t xml:space="preserve">Kavya Nair</t>
  </si>
  <si>
    <t xml:space="preserve">ORD-10131</t>
  </si>
  <si>
    <t xml:space="preserve">ORD-10132</t>
  </si>
  <si>
    <t xml:space="preserve">ORD-10133</t>
  </si>
  <si>
    <t xml:space="preserve">Deepa Mehta</t>
  </si>
  <si>
    <t xml:space="preserve">ORD-10134</t>
  </si>
  <si>
    <t xml:space="preserve">ORD-10135</t>
  </si>
  <si>
    <t xml:space="preserve">Nikhil Singh</t>
  </si>
  <si>
    <t xml:space="preserve">ORD-10136</t>
  </si>
  <si>
    <t xml:space="preserve">Amit Sharma</t>
  </si>
  <si>
    <t xml:space="preserve">ORD-10137</t>
  </si>
  <si>
    <t xml:space="preserve">Deepa Gupta</t>
  </si>
  <si>
    <t xml:space="preserve">ORD-10138</t>
  </si>
  <si>
    <t xml:space="preserve">Sanjay Gupta</t>
  </si>
  <si>
    <t xml:space="preserve">ORD-10139</t>
  </si>
  <si>
    <t xml:space="preserve">Arjun Reddy</t>
  </si>
  <si>
    <t xml:space="preserve">ORD-10140</t>
  </si>
  <si>
    <t xml:space="preserve">Nikhil Mehta</t>
  </si>
  <si>
    <t xml:space="preserve">ORD-10141</t>
  </si>
  <si>
    <t xml:space="preserve">Sanjay Joshi</t>
  </si>
  <si>
    <t xml:space="preserve">ORD-10142</t>
  </si>
  <si>
    <t xml:space="preserve">ORD-10143</t>
  </si>
  <si>
    <t xml:space="preserve">Suresh Singh</t>
  </si>
  <si>
    <t xml:space="preserve">ORD-10144</t>
  </si>
  <si>
    <t xml:space="preserve">Meera Kumar</t>
  </si>
  <si>
    <t xml:space="preserve">ORD-10145</t>
  </si>
  <si>
    <t xml:space="preserve">Amit Kumar</t>
  </si>
  <si>
    <t xml:space="preserve">ORD-10146</t>
  </si>
  <si>
    <t xml:space="preserve">ORD-10147</t>
  </si>
  <si>
    <t xml:space="preserve">ORD-10148</t>
  </si>
  <si>
    <t xml:space="preserve">ORD-10149</t>
  </si>
  <si>
    <t xml:space="preserve">Kiran Nair</t>
  </si>
  <si>
    <t xml:space="preserve">ORD-10150</t>
  </si>
  <si>
    <t xml:space="preserve">Amit Mehta</t>
  </si>
  <si>
    <t xml:space="preserve">ORD-10151</t>
  </si>
  <si>
    <t xml:space="preserve">Meera Nair</t>
  </si>
  <si>
    <t xml:space="preserve">ORD-10152</t>
  </si>
  <si>
    <t xml:space="preserve">ORD-10153</t>
  </si>
  <si>
    <t xml:space="preserve">Vikram Nair</t>
  </si>
  <si>
    <t xml:space="preserve">ORD-10154</t>
  </si>
  <si>
    <t xml:space="preserve">ORD-10155</t>
  </si>
  <si>
    <t xml:space="preserve">Nikhil Patel</t>
  </si>
  <si>
    <t xml:space="preserve">ORD-10156</t>
  </si>
  <si>
    <t xml:space="preserve">ORD-10157</t>
  </si>
  <si>
    <t xml:space="preserve">ORD-10158</t>
  </si>
  <si>
    <t xml:space="preserve">Anjali Gupta</t>
  </si>
  <si>
    <t xml:space="preserve">ORD-10159</t>
  </si>
  <si>
    <t xml:space="preserve">ORD-10160</t>
  </si>
  <si>
    <t xml:space="preserve">Arun Reddy</t>
  </si>
  <si>
    <t xml:space="preserve">ORD-10161</t>
  </si>
  <si>
    <t xml:space="preserve">ORD-10162</t>
  </si>
  <si>
    <t xml:space="preserve">Arun Mehta</t>
  </si>
  <si>
    <t xml:space="preserve">ORD-10163</t>
  </si>
  <si>
    <t xml:space="preserve">Ravi Mehta</t>
  </si>
  <si>
    <t xml:space="preserve">ORD-10164</t>
  </si>
  <si>
    <t xml:space="preserve">Suresh Kumar</t>
  </si>
  <si>
    <t xml:space="preserve">ORD-10165</t>
  </si>
  <si>
    <t xml:space="preserve">ORD-10166</t>
  </si>
  <si>
    <t xml:space="preserve">Nikhil Joshi</t>
  </si>
  <si>
    <t xml:space="preserve">ORD-10167</t>
  </si>
  <si>
    <t xml:space="preserve">ORD-10168</t>
  </si>
  <si>
    <t xml:space="preserve">Rahul Iyer</t>
  </si>
  <si>
    <t xml:space="preserve">ORD-10169</t>
  </si>
  <si>
    <t xml:space="preserve">ORD-10170</t>
  </si>
  <si>
    <t xml:space="preserve">Meera Singh</t>
  </si>
  <si>
    <t xml:space="preserve">ORD-10171</t>
  </si>
  <si>
    <t xml:space="preserve">ORD-10172</t>
  </si>
  <si>
    <t xml:space="preserve">ORD-10173</t>
  </si>
  <si>
    <t xml:space="preserve">ORD-10174</t>
  </si>
  <si>
    <t xml:space="preserve">ORD-10175</t>
  </si>
  <si>
    <t xml:space="preserve">ORD-10176</t>
  </si>
  <si>
    <t xml:space="preserve">ORD-10177</t>
  </si>
  <si>
    <t xml:space="preserve">ORD-10178</t>
  </si>
  <si>
    <t xml:space="preserve">ORD-10179</t>
  </si>
  <si>
    <t xml:space="preserve">ORD-10180</t>
  </si>
  <si>
    <t xml:space="preserve">ORD-10181</t>
  </si>
  <si>
    <t xml:space="preserve">Arun Singh</t>
  </si>
  <si>
    <t xml:space="preserve">ORD-10182</t>
  </si>
  <si>
    <t xml:space="preserve">Amit Nair</t>
  </si>
  <si>
    <t xml:space="preserve">ORD-10183</t>
  </si>
  <si>
    <t xml:space="preserve">Anjali Nair</t>
  </si>
  <si>
    <t xml:space="preserve">ORD-10184</t>
  </si>
  <si>
    <t xml:space="preserve">Rahul Nair</t>
  </si>
  <si>
    <t xml:space="preserve">ORD-10185</t>
  </si>
  <si>
    <t xml:space="preserve">ORD-10186</t>
  </si>
  <si>
    <t xml:space="preserve">ORD-10187</t>
  </si>
  <si>
    <t xml:space="preserve">ORD-10188</t>
  </si>
  <si>
    <t xml:space="preserve">ORD-10189</t>
  </si>
  <si>
    <t xml:space="preserve">ORD-10190</t>
  </si>
  <si>
    <t xml:space="preserve">ORD-10191</t>
  </si>
  <si>
    <t xml:space="preserve">ORD-10192</t>
  </si>
  <si>
    <t xml:space="preserve">ORD-10193</t>
  </si>
  <si>
    <t xml:space="preserve">ORD-10194</t>
  </si>
  <si>
    <t xml:space="preserve">ORD-10195</t>
  </si>
  <si>
    <t xml:space="preserve">Shruti Reddy</t>
  </si>
  <si>
    <t xml:space="preserve">ORD-10196</t>
  </si>
  <si>
    <t xml:space="preserve">ORD-10197</t>
  </si>
  <si>
    <t xml:space="preserve">Pooja Kumar</t>
  </si>
  <si>
    <t xml:space="preserve">ORD-10198</t>
  </si>
  <si>
    <t xml:space="preserve">ORD-10199</t>
  </si>
  <si>
    <t xml:space="preserve">Deepa Patel</t>
  </si>
  <si>
    <t xml:space="preserve">ORD-10200</t>
  </si>
  <si>
    <t xml:space="preserve">ORD-10201</t>
  </si>
  <si>
    <t xml:space="preserve">Sheet UI Builder — Test Dataset</t>
  </si>
  <si>
    <t xml:space="preserve">About this file</t>
  </si>
  <si>
    <t xml:space="preserve">Total Orders</t>
  </si>
  <si>
    <t xml:space="preserve">Avg Order Value (₹)</t>
  </si>
  <si>
    <t xml:space="preserve">Unique Customers</t>
  </si>
  <si>
    <t xml:space="preserve">Delivered Orders</t>
  </si>
  <si>
    <t xml:space="preserve">Return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</si>
</sst>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E293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45619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4" t="n">
        <v>1</v>
      </c>
      <c r="K2" s="5" t="n">
        <v>1200</v>
      </c>
      <c r="L2" s="5" t="n">
        <f aca="false">J2*K2</f>
        <v>1200</v>
      </c>
      <c r="M2" s="2" t="s">
        <v>23</v>
      </c>
      <c r="N2" s="4" t="s">
        <v>24</v>
      </c>
      <c r="O2" s="4" t="n">
        <v>3</v>
      </c>
    </row>
    <row r="3" customFormat="false" ht="15" hidden="false" customHeight="false" outlineLevel="0" collapsed="false">
      <c r="A3" s="6" t="s">
        <v>25</v>
      </c>
      <c r="B3" s="7" t="n">
        <v>45307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8" t="n">
        <v>5</v>
      </c>
      <c r="K3" s="9" t="n">
        <v>3500</v>
      </c>
      <c r="L3" s="9" t="n">
        <f aca="false">J3*K3</f>
        <v>17500</v>
      </c>
      <c r="M3" s="6" t="s">
        <v>33</v>
      </c>
      <c r="N3" s="8" t="s">
        <v>24</v>
      </c>
      <c r="O3" s="6"/>
    </row>
    <row r="4" customFormat="false" ht="15" hidden="false" customHeight="false" outlineLevel="0" collapsed="false">
      <c r="A4" s="2" t="s">
        <v>34</v>
      </c>
      <c r="B4" s="3" t="n">
        <v>45571</v>
      </c>
      <c r="C4" s="2" t="s">
        <v>35</v>
      </c>
      <c r="D4" s="2" t="s">
        <v>36</v>
      </c>
      <c r="E4" s="2" t="s">
        <v>37</v>
      </c>
      <c r="F4" s="2" t="s">
        <v>29</v>
      </c>
      <c r="G4" s="2" t="s">
        <v>20</v>
      </c>
      <c r="H4" s="2" t="s">
        <v>38</v>
      </c>
      <c r="I4" s="2" t="s">
        <v>39</v>
      </c>
      <c r="J4" s="4" t="n">
        <v>1</v>
      </c>
      <c r="K4" s="5" t="n">
        <v>8700</v>
      </c>
      <c r="L4" s="5" t="n">
        <f aca="false">J4*K4</f>
        <v>8700</v>
      </c>
      <c r="M4" s="2" t="s">
        <v>40</v>
      </c>
      <c r="N4" s="4" t="s">
        <v>41</v>
      </c>
      <c r="O4" s="2"/>
    </row>
    <row r="5" customFormat="false" ht="15" hidden="false" customHeight="false" outlineLevel="0" collapsed="false">
      <c r="A5" s="6" t="s">
        <v>42</v>
      </c>
      <c r="B5" s="7" t="n">
        <v>45373</v>
      </c>
      <c r="C5" s="6" t="s">
        <v>43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38</v>
      </c>
      <c r="I5" s="6" t="s">
        <v>39</v>
      </c>
      <c r="J5" s="8" t="n">
        <v>3</v>
      </c>
      <c r="K5" s="9" t="n">
        <v>4500</v>
      </c>
      <c r="L5" s="9" t="n">
        <f aca="false">J5*K5</f>
        <v>13500</v>
      </c>
      <c r="M5" s="6" t="s">
        <v>23</v>
      </c>
      <c r="N5" s="8" t="s">
        <v>24</v>
      </c>
      <c r="O5" s="8" t="n">
        <v>4</v>
      </c>
    </row>
    <row r="6" customFormat="false" ht="15" hidden="false" customHeight="false" outlineLevel="0" collapsed="false">
      <c r="A6" s="2" t="s">
        <v>44</v>
      </c>
      <c r="B6" s="3" t="n">
        <v>45468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30</v>
      </c>
      <c r="H6" s="2" t="s">
        <v>49</v>
      </c>
      <c r="I6" s="2" t="s">
        <v>50</v>
      </c>
      <c r="J6" s="4" t="n">
        <v>4</v>
      </c>
      <c r="K6" s="5" t="n">
        <v>1600</v>
      </c>
      <c r="L6" s="5" t="n">
        <f aca="false">J6*K6</f>
        <v>6400</v>
      </c>
      <c r="M6" s="2" t="s">
        <v>51</v>
      </c>
      <c r="N6" s="4" t="s">
        <v>24</v>
      </c>
      <c r="O6" s="2"/>
    </row>
    <row r="7" customFormat="false" ht="15" hidden="false" customHeight="false" outlineLevel="0" collapsed="false">
      <c r="A7" s="6" t="s">
        <v>52</v>
      </c>
      <c r="B7" s="7" t="n">
        <v>45613</v>
      </c>
      <c r="C7" s="6" t="s">
        <v>53</v>
      </c>
      <c r="D7" s="6" t="s">
        <v>27</v>
      </c>
      <c r="E7" s="6" t="s">
        <v>28</v>
      </c>
      <c r="F7" s="6" t="s">
        <v>19</v>
      </c>
      <c r="G7" s="6" t="s">
        <v>54</v>
      </c>
      <c r="H7" s="6" t="s">
        <v>55</v>
      </c>
      <c r="I7" s="6" t="s">
        <v>56</v>
      </c>
      <c r="J7" s="8" t="n">
        <v>2</v>
      </c>
      <c r="K7" s="9" t="n">
        <v>1700</v>
      </c>
      <c r="L7" s="9" t="n">
        <f aca="false">J7*K7</f>
        <v>3400</v>
      </c>
      <c r="M7" s="6" t="s">
        <v>23</v>
      </c>
      <c r="N7" s="8" t="s">
        <v>24</v>
      </c>
      <c r="O7" s="8" t="n">
        <v>3</v>
      </c>
    </row>
    <row r="8" customFormat="false" ht="15" hidden="false" customHeight="false" outlineLevel="0" collapsed="false">
      <c r="A8" s="2" t="s">
        <v>57</v>
      </c>
      <c r="B8" s="3" t="n">
        <v>45486</v>
      </c>
      <c r="C8" s="2" t="s">
        <v>58</v>
      </c>
      <c r="D8" s="2" t="s">
        <v>59</v>
      </c>
      <c r="E8" s="2" t="s">
        <v>47</v>
      </c>
      <c r="F8" s="2" t="s">
        <v>19</v>
      </c>
      <c r="G8" s="2" t="s">
        <v>20</v>
      </c>
      <c r="H8" s="2" t="s">
        <v>60</v>
      </c>
      <c r="I8" s="2" t="s">
        <v>32</v>
      </c>
      <c r="J8" s="4" t="n">
        <v>2</v>
      </c>
      <c r="K8" s="5" t="n">
        <v>8300</v>
      </c>
      <c r="L8" s="5" t="n">
        <f aca="false">J8*K8</f>
        <v>16600</v>
      </c>
      <c r="M8" s="2" t="s">
        <v>33</v>
      </c>
      <c r="N8" s="4" t="s">
        <v>24</v>
      </c>
      <c r="O8" s="2"/>
    </row>
    <row r="9" customFormat="false" ht="15" hidden="false" customHeight="false" outlineLevel="0" collapsed="false">
      <c r="A9" s="6" t="s">
        <v>61</v>
      </c>
      <c r="B9" s="7" t="n">
        <v>45623</v>
      </c>
      <c r="C9" s="6" t="s">
        <v>62</v>
      </c>
      <c r="D9" s="6" t="s">
        <v>63</v>
      </c>
      <c r="E9" s="6" t="s">
        <v>64</v>
      </c>
      <c r="F9" s="6" t="s">
        <v>29</v>
      </c>
      <c r="G9" s="6" t="s">
        <v>30</v>
      </c>
      <c r="H9" s="6" t="s">
        <v>65</v>
      </c>
      <c r="I9" s="6" t="s">
        <v>39</v>
      </c>
      <c r="J9" s="8" t="n">
        <v>2</v>
      </c>
      <c r="K9" s="9" t="n">
        <v>4800</v>
      </c>
      <c r="L9" s="9" t="n">
        <f aca="false">J9*K9</f>
        <v>9600</v>
      </c>
      <c r="M9" s="6" t="s">
        <v>66</v>
      </c>
      <c r="N9" s="8" t="s">
        <v>24</v>
      </c>
      <c r="O9" s="6"/>
    </row>
    <row r="10" customFormat="false" ht="15" hidden="false" customHeight="false" outlineLevel="0" collapsed="false">
      <c r="A10" s="2" t="s">
        <v>67</v>
      </c>
      <c r="B10" s="3" t="n">
        <v>45619</v>
      </c>
      <c r="C10" s="2" t="s">
        <v>68</v>
      </c>
      <c r="D10" s="2" t="s">
        <v>59</v>
      </c>
      <c r="E10" s="2" t="s">
        <v>47</v>
      </c>
      <c r="F10" s="2" t="s">
        <v>19</v>
      </c>
      <c r="G10" s="2" t="s">
        <v>20</v>
      </c>
      <c r="H10" s="2" t="s">
        <v>69</v>
      </c>
      <c r="I10" s="2" t="s">
        <v>50</v>
      </c>
      <c r="J10" s="4" t="n">
        <v>1</v>
      </c>
      <c r="K10" s="5" t="n">
        <v>4400</v>
      </c>
      <c r="L10" s="5" t="n">
        <f aca="false">J10*K10</f>
        <v>4400</v>
      </c>
      <c r="M10" s="2" t="s">
        <v>23</v>
      </c>
      <c r="N10" s="4" t="s">
        <v>24</v>
      </c>
      <c r="O10" s="4" t="n">
        <v>3</v>
      </c>
    </row>
    <row r="11" customFormat="false" ht="15" hidden="false" customHeight="false" outlineLevel="0" collapsed="false">
      <c r="A11" s="6" t="s">
        <v>70</v>
      </c>
      <c r="B11" s="7" t="n">
        <v>45400</v>
      </c>
      <c r="C11" s="6" t="s">
        <v>71</v>
      </c>
      <c r="D11" s="6" t="s">
        <v>27</v>
      </c>
      <c r="E11" s="6" t="s">
        <v>28</v>
      </c>
      <c r="F11" s="6" t="s">
        <v>48</v>
      </c>
      <c r="G11" s="6" t="s">
        <v>30</v>
      </c>
      <c r="H11" s="6" t="s">
        <v>72</v>
      </c>
      <c r="I11" s="6" t="s">
        <v>73</v>
      </c>
      <c r="J11" s="8" t="n">
        <v>4</v>
      </c>
      <c r="K11" s="9" t="n">
        <v>800</v>
      </c>
      <c r="L11" s="9" t="n">
        <f aca="false">J11*K11</f>
        <v>3200</v>
      </c>
      <c r="M11" s="6" t="s">
        <v>23</v>
      </c>
      <c r="N11" s="8" t="s">
        <v>24</v>
      </c>
      <c r="O11" s="8" t="n">
        <v>5</v>
      </c>
    </row>
    <row r="12" customFormat="false" ht="15" hidden="false" customHeight="false" outlineLevel="0" collapsed="false">
      <c r="A12" s="2" t="s">
        <v>74</v>
      </c>
      <c r="B12" s="3" t="n">
        <v>45579</v>
      </c>
      <c r="C12" s="2" t="s">
        <v>75</v>
      </c>
      <c r="D12" s="2" t="s">
        <v>76</v>
      </c>
      <c r="E12" s="2" t="s">
        <v>77</v>
      </c>
      <c r="F12" s="2" t="s">
        <v>29</v>
      </c>
      <c r="G12" s="2" t="s">
        <v>30</v>
      </c>
      <c r="H12" s="2" t="s">
        <v>60</v>
      </c>
      <c r="I12" s="2" t="s">
        <v>32</v>
      </c>
      <c r="J12" s="4" t="n">
        <v>2</v>
      </c>
      <c r="K12" s="5" t="n">
        <v>6600</v>
      </c>
      <c r="L12" s="5" t="n">
        <f aca="false">J12*K12</f>
        <v>13200</v>
      </c>
      <c r="M12" s="2" t="s">
        <v>51</v>
      </c>
      <c r="N12" s="4" t="s">
        <v>24</v>
      </c>
      <c r="O12" s="2"/>
    </row>
    <row r="13" customFormat="false" ht="15" hidden="false" customHeight="false" outlineLevel="0" collapsed="false">
      <c r="A13" s="6" t="s">
        <v>78</v>
      </c>
      <c r="B13" s="7" t="n">
        <v>45316</v>
      </c>
      <c r="C13" s="6" t="s">
        <v>79</v>
      </c>
      <c r="D13" s="6" t="s">
        <v>63</v>
      </c>
      <c r="E13" s="6" t="s">
        <v>64</v>
      </c>
      <c r="F13" s="6" t="s">
        <v>48</v>
      </c>
      <c r="G13" s="6" t="s">
        <v>30</v>
      </c>
      <c r="H13" s="6" t="s">
        <v>49</v>
      </c>
      <c r="I13" s="6" t="s">
        <v>50</v>
      </c>
      <c r="J13" s="8" t="n">
        <v>4</v>
      </c>
      <c r="K13" s="9" t="n">
        <v>2600</v>
      </c>
      <c r="L13" s="9" t="n">
        <f aca="false">J13*K13</f>
        <v>10400</v>
      </c>
      <c r="M13" s="6" t="s">
        <v>51</v>
      </c>
      <c r="N13" s="8" t="s">
        <v>24</v>
      </c>
      <c r="O13" s="6"/>
    </row>
    <row r="14" customFormat="false" ht="15" hidden="false" customHeight="false" outlineLevel="0" collapsed="false">
      <c r="A14" s="2" t="s">
        <v>80</v>
      </c>
      <c r="B14" s="3" t="n">
        <v>45562</v>
      </c>
      <c r="C14" s="2" t="s">
        <v>81</v>
      </c>
      <c r="D14" s="2" t="s">
        <v>46</v>
      </c>
      <c r="E14" s="2" t="s">
        <v>47</v>
      </c>
      <c r="F14" s="2" t="s">
        <v>19</v>
      </c>
      <c r="G14" s="2" t="s">
        <v>30</v>
      </c>
      <c r="H14" s="2" t="s">
        <v>72</v>
      </c>
      <c r="I14" s="2" t="s">
        <v>73</v>
      </c>
      <c r="J14" s="4" t="n">
        <v>5</v>
      </c>
      <c r="K14" s="5" t="n">
        <v>1200</v>
      </c>
      <c r="L14" s="5" t="n">
        <f aca="false">J14*K14</f>
        <v>6000</v>
      </c>
      <c r="M14" s="2" t="s">
        <v>40</v>
      </c>
      <c r="N14" s="4" t="s">
        <v>41</v>
      </c>
      <c r="O14" s="2"/>
    </row>
    <row r="15" customFormat="false" ht="15" hidden="false" customHeight="false" outlineLevel="0" collapsed="false">
      <c r="A15" s="6" t="s">
        <v>82</v>
      </c>
      <c r="B15" s="7" t="n">
        <v>45620</v>
      </c>
      <c r="C15" s="6" t="s">
        <v>83</v>
      </c>
      <c r="D15" s="6" t="s">
        <v>17</v>
      </c>
      <c r="E15" s="6" t="s">
        <v>18</v>
      </c>
      <c r="F15" s="6" t="s">
        <v>48</v>
      </c>
      <c r="G15" s="6" t="s">
        <v>20</v>
      </c>
      <c r="H15" s="6" t="s">
        <v>84</v>
      </c>
      <c r="I15" s="6" t="s">
        <v>32</v>
      </c>
      <c r="J15" s="8" t="n">
        <v>1</v>
      </c>
      <c r="K15" s="9" t="n">
        <v>3700</v>
      </c>
      <c r="L15" s="9" t="n">
        <f aca="false">J15*K15</f>
        <v>3700</v>
      </c>
      <c r="M15" s="6" t="s">
        <v>33</v>
      </c>
      <c r="N15" s="8" t="s">
        <v>24</v>
      </c>
      <c r="O15" s="6"/>
    </row>
    <row r="16" customFormat="false" ht="15" hidden="false" customHeight="false" outlineLevel="0" collapsed="false">
      <c r="A16" s="2" t="s">
        <v>85</v>
      </c>
      <c r="B16" s="3" t="n">
        <v>45548</v>
      </c>
      <c r="C16" s="2" t="s">
        <v>86</v>
      </c>
      <c r="D16" s="2" t="s">
        <v>87</v>
      </c>
      <c r="E16" s="2" t="s">
        <v>87</v>
      </c>
      <c r="F16" s="2" t="s">
        <v>48</v>
      </c>
      <c r="G16" s="2" t="s">
        <v>30</v>
      </c>
      <c r="H16" s="2" t="s">
        <v>88</v>
      </c>
      <c r="I16" s="2" t="s">
        <v>89</v>
      </c>
      <c r="J16" s="4" t="n">
        <v>5</v>
      </c>
      <c r="K16" s="5" t="n">
        <v>800</v>
      </c>
      <c r="L16" s="5" t="n">
        <f aca="false">J16*K16</f>
        <v>4000</v>
      </c>
      <c r="M16" s="2" t="s">
        <v>23</v>
      </c>
      <c r="N16" s="4" t="s">
        <v>24</v>
      </c>
      <c r="O16" s="4" t="n">
        <v>3</v>
      </c>
    </row>
    <row r="17" customFormat="false" ht="15" hidden="false" customHeight="false" outlineLevel="0" collapsed="false">
      <c r="A17" s="6" t="s">
        <v>90</v>
      </c>
      <c r="B17" s="7" t="n">
        <v>45568</v>
      </c>
      <c r="C17" s="6" t="s">
        <v>91</v>
      </c>
      <c r="D17" s="6" t="s">
        <v>59</v>
      </c>
      <c r="E17" s="6" t="s">
        <v>47</v>
      </c>
      <c r="F17" s="6" t="s">
        <v>48</v>
      </c>
      <c r="G17" s="6" t="s">
        <v>54</v>
      </c>
      <c r="H17" s="6" t="s">
        <v>49</v>
      </c>
      <c r="I17" s="6" t="s">
        <v>50</v>
      </c>
      <c r="J17" s="8" t="n">
        <v>3</v>
      </c>
      <c r="K17" s="9" t="n">
        <v>2300</v>
      </c>
      <c r="L17" s="9" t="n">
        <f aca="false">J17*K17</f>
        <v>6900</v>
      </c>
      <c r="M17" s="6" t="s">
        <v>23</v>
      </c>
      <c r="N17" s="8" t="s">
        <v>24</v>
      </c>
      <c r="O17" s="8" t="n">
        <v>5</v>
      </c>
    </row>
    <row r="18" customFormat="false" ht="15" hidden="false" customHeight="false" outlineLevel="0" collapsed="false">
      <c r="A18" s="2" t="s">
        <v>92</v>
      </c>
      <c r="B18" s="3" t="n">
        <v>45332</v>
      </c>
      <c r="C18" s="2" t="s">
        <v>93</v>
      </c>
      <c r="D18" s="2" t="s">
        <v>87</v>
      </c>
      <c r="E18" s="2" t="s">
        <v>87</v>
      </c>
      <c r="F18" s="2" t="s">
        <v>29</v>
      </c>
      <c r="G18" s="2" t="s">
        <v>20</v>
      </c>
      <c r="H18" s="2" t="s">
        <v>21</v>
      </c>
      <c r="I18" s="2" t="s">
        <v>22</v>
      </c>
      <c r="J18" s="4" t="n">
        <v>4</v>
      </c>
      <c r="K18" s="5" t="n">
        <v>1200</v>
      </c>
      <c r="L18" s="5" t="n">
        <f aca="false">J18*K18</f>
        <v>4800</v>
      </c>
      <c r="M18" s="2" t="s">
        <v>23</v>
      </c>
      <c r="N18" s="4" t="s">
        <v>24</v>
      </c>
      <c r="O18" s="4" t="n">
        <v>5</v>
      </c>
    </row>
    <row r="19" customFormat="false" ht="15" hidden="false" customHeight="false" outlineLevel="0" collapsed="false">
      <c r="A19" s="6" t="s">
        <v>94</v>
      </c>
      <c r="B19" s="7" t="n">
        <v>45508</v>
      </c>
      <c r="C19" s="6" t="s">
        <v>95</v>
      </c>
      <c r="D19" s="6" t="s">
        <v>27</v>
      </c>
      <c r="E19" s="6" t="s">
        <v>28</v>
      </c>
      <c r="F19" s="6" t="s">
        <v>48</v>
      </c>
      <c r="G19" s="6" t="s">
        <v>30</v>
      </c>
      <c r="H19" s="6" t="s">
        <v>55</v>
      </c>
      <c r="I19" s="6" t="s">
        <v>56</v>
      </c>
      <c r="J19" s="8" t="n">
        <v>3</v>
      </c>
      <c r="K19" s="9" t="n">
        <v>2200</v>
      </c>
      <c r="L19" s="9" t="n">
        <f aca="false">J19*K19</f>
        <v>6600</v>
      </c>
      <c r="M19" s="6" t="s">
        <v>51</v>
      </c>
      <c r="N19" s="8" t="s">
        <v>24</v>
      </c>
      <c r="O19" s="6"/>
    </row>
    <row r="20" customFormat="false" ht="15" hidden="false" customHeight="false" outlineLevel="0" collapsed="false">
      <c r="A20" s="2" t="s">
        <v>96</v>
      </c>
      <c r="B20" s="3" t="n">
        <v>45418</v>
      </c>
      <c r="C20" s="2" t="s">
        <v>97</v>
      </c>
      <c r="D20" s="2" t="s">
        <v>59</v>
      </c>
      <c r="E20" s="2" t="s">
        <v>47</v>
      </c>
      <c r="F20" s="2" t="s">
        <v>19</v>
      </c>
      <c r="G20" s="2" t="s">
        <v>30</v>
      </c>
      <c r="H20" s="2" t="s">
        <v>88</v>
      </c>
      <c r="I20" s="2" t="s">
        <v>89</v>
      </c>
      <c r="J20" s="4" t="n">
        <v>2</v>
      </c>
      <c r="K20" s="5" t="n">
        <v>1400</v>
      </c>
      <c r="L20" s="5" t="n">
        <f aca="false">J20*K20</f>
        <v>2800</v>
      </c>
      <c r="M20" s="2" t="s">
        <v>23</v>
      </c>
      <c r="N20" s="4" t="s">
        <v>41</v>
      </c>
      <c r="O20" s="4" t="n">
        <v>5</v>
      </c>
    </row>
    <row r="21" customFormat="false" ht="15" hidden="false" customHeight="false" outlineLevel="0" collapsed="false">
      <c r="A21" s="6" t="s">
        <v>98</v>
      </c>
      <c r="B21" s="7" t="n">
        <v>45615</v>
      </c>
      <c r="C21" s="6" t="s">
        <v>99</v>
      </c>
      <c r="D21" s="6" t="s">
        <v>87</v>
      </c>
      <c r="E21" s="6" t="s">
        <v>87</v>
      </c>
      <c r="F21" s="6" t="s">
        <v>19</v>
      </c>
      <c r="G21" s="6" t="s">
        <v>20</v>
      </c>
      <c r="H21" s="6" t="s">
        <v>49</v>
      </c>
      <c r="I21" s="6" t="s">
        <v>50</v>
      </c>
      <c r="J21" s="8" t="n">
        <v>5</v>
      </c>
      <c r="K21" s="9" t="n">
        <v>2100</v>
      </c>
      <c r="L21" s="9" t="n">
        <f aca="false">J21*K21</f>
        <v>10500</v>
      </c>
      <c r="M21" s="6" t="s">
        <v>23</v>
      </c>
      <c r="N21" s="8" t="s">
        <v>24</v>
      </c>
      <c r="O21" s="8" t="n">
        <v>3</v>
      </c>
    </row>
    <row r="22" customFormat="false" ht="15" hidden="false" customHeight="false" outlineLevel="0" collapsed="false">
      <c r="A22" s="2" t="s">
        <v>100</v>
      </c>
      <c r="B22" s="3" t="n">
        <v>45568</v>
      </c>
      <c r="C22" s="2" t="s">
        <v>101</v>
      </c>
      <c r="D22" s="2" t="s">
        <v>36</v>
      </c>
      <c r="E22" s="2" t="s">
        <v>37</v>
      </c>
      <c r="F22" s="2" t="s">
        <v>19</v>
      </c>
      <c r="G22" s="2" t="s">
        <v>30</v>
      </c>
      <c r="H22" s="2" t="s">
        <v>38</v>
      </c>
      <c r="I22" s="2" t="s">
        <v>39</v>
      </c>
      <c r="J22" s="4" t="n">
        <v>4</v>
      </c>
      <c r="K22" s="5" t="n">
        <v>5100</v>
      </c>
      <c r="L22" s="5" t="n">
        <f aca="false">J22*K22</f>
        <v>20400</v>
      </c>
      <c r="M22" s="2" t="s">
        <v>23</v>
      </c>
      <c r="N22" s="4" t="s">
        <v>24</v>
      </c>
      <c r="O22" s="4" t="n">
        <v>4</v>
      </c>
    </row>
    <row r="23" customFormat="false" ht="15" hidden="false" customHeight="false" outlineLevel="0" collapsed="false">
      <c r="A23" s="6" t="s">
        <v>102</v>
      </c>
      <c r="B23" s="7" t="n">
        <v>45473</v>
      </c>
      <c r="C23" s="6" t="s">
        <v>103</v>
      </c>
      <c r="D23" s="6" t="s">
        <v>36</v>
      </c>
      <c r="E23" s="6" t="s">
        <v>37</v>
      </c>
      <c r="F23" s="6" t="s">
        <v>19</v>
      </c>
      <c r="G23" s="6" t="s">
        <v>30</v>
      </c>
      <c r="H23" s="6" t="s">
        <v>55</v>
      </c>
      <c r="I23" s="6" t="s">
        <v>56</v>
      </c>
      <c r="J23" s="8" t="n">
        <v>1</v>
      </c>
      <c r="K23" s="9" t="n">
        <v>900</v>
      </c>
      <c r="L23" s="9" t="n">
        <f aca="false">J23*K23</f>
        <v>900</v>
      </c>
      <c r="M23" s="6" t="s">
        <v>66</v>
      </c>
      <c r="N23" s="8" t="s">
        <v>24</v>
      </c>
      <c r="O23" s="6"/>
    </row>
    <row r="24" customFormat="false" ht="15" hidden="false" customHeight="false" outlineLevel="0" collapsed="false">
      <c r="A24" s="2" t="s">
        <v>104</v>
      </c>
      <c r="B24" s="3" t="n">
        <v>45347</v>
      </c>
      <c r="C24" s="2" t="s">
        <v>105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21</v>
      </c>
      <c r="I24" s="2" t="s">
        <v>22</v>
      </c>
      <c r="J24" s="4" t="n">
        <v>4</v>
      </c>
      <c r="K24" s="5" t="n">
        <v>600</v>
      </c>
      <c r="L24" s="5" t="n">
        <f aca="false">J24*K24</f>
        <v>2400</v>
      </c>
      <c r="M24" s="2" t="s">
        <v>23</v>
      </c>
      <c r="N24" s="4" t="s">
        <v>24</v>
      </c>
      <c r="O24" s="4" t="n">
        <v>3</v>
      </c>
    </row>
    <row r="25" customFormat="false" ht="15" hidden="false" customHeight="false" outlineLevel="0" collapsed="false">
      <c r="A25" s="6" t="s">
        <v>106</v>
      </c>
      <c r="B25" s="7" t="n">
        <v>45518</v>
      </c>
      <c r="C25" s="6" t="s">
        <v>107</v>
      </c>
      <c r="D25" s="6" t="s">
        <v>46</v>
      </c>
      <c r="E25" s="6" t="s">
        <v>47</v>
      </c>
      <c r="F25" s="6" t="s">
        <v>29</v>
      </c>
      <c r="G25" s="6" t="s">
        <v>54</v>
      </c>
      <c r="H25" s="6" t="s">
        <v>49</v>
      </c>
      <c r="I25" s="6" t="s">
        <v>50</v>
      </c>
      <c r="J25" s="8" t="n">
        <v>2</v>
      </c>
      <c r="K25" s="9" t="n">
        <v>1900</v>
      </c>
      <c r="L25" s="9" t="n">
        <f aca="false">J25*K25</f>
        <v>3800</v>
      </c>
      <c r="M25" s="6" t="s">
        <v>66</v>
      </c>
      <c r="N25" s="8" t="s">
        <v>24</v>
      </c>
      <c r="O25" s="6"/>
    </row>
    <row r="26" customFormat="false" ht="15" hidden="false" customHeight="false" outlineLevel="0" collapsed="false">
      <c r="A26" s="2" t="s">
        <v>108</v>
      </c>
      <c r="B26" s="3" t="n">
        <v>45401</v>
      </c>
      <c r="C26" s="2" t="s">
        <v>109</v>
      </c>
      <c r="D26" s="2" t="s">
        <v>63</v>
      </c>
      <c r="E26" s="2" t="s">
        <v>64</v>
      </c>
      <c r="F26" s="2" t="s">
        <v>48</v>
      </c>
      <c r="G26" s="2" t="s">
        <v>54</v>
      </c>
      <c r="H26" s="2" t="s">
        <v>110</v>
      </c>
      <c r="I26" s="2" t="s">
        <v>22</v>
      </c>
      <c r="J26" s="4" t="n">
        <v>3</v>
      </c>
      <c r="K26" s="5" t="n">
        <v>800</v>
      </c>
      <c r="L26" s="5" t="n">
        <f aca="false">J26*K26</f>
        <v>2400</v>
      </c>
      <c r="M26" s="2" t="s">
        <v>40</v>
      </c>
      <c r="N26" s="4" t="s">
        <v>41</v>
      </c>
      <c r="O26" s="2"/>
    </row>
    <row r="27" customFormat="false" ht="15" hidden="false" customHeight="false" outlineLevel="0" collapsed="false">
      <c r="A27" s="6" t="s">
        <v>111</v>
      </c>
      <c r="B27" s="7" t="n">
        <v>45524</v>
      </c>
      <c r="C27" s="6" t="s">
        <v>112</v>
      </c>
      <c r="D27" s="6" t="s">
        <v>36</v>
      </c>
      <c r="E27" s="6" t="s">
        <v>37</v>
      </c>
      <c r="F27" s="6" t="s">
        <v>19</v>
      </c>
      <c r="G27" s="6" t="s">
        <v>20</v>
      </c>
      <c r="H27" s="6" t="s">
        <v>113</v>
      </c>
      <c r="I27" s="6" t="s">
        <v>114</v>
      </c>
      <c r="J27" s="8" t="n">
        <v>2</v>
      </c>
      <c r="K27" s="9" t="n">
        <v>800</v>
      </c>
      <c r="L27" s="9" t="n">
        <f aca="false">J27*K27</f>
        <v>1600</v>
      </c>
      <c r="M27" s="6" t="s">
        <v>51</v>
      </c>
      <c r="N27" s="8" t="s">
        <v>24</v>
      </c>
      <c r="O27" s="6"/>
    </row>
    <row r="28" customFormat="false" ht="15" hidden="false" customHeight="false" outlineLevel="0" collapsed="false">
      <c r="A28" s="2" t="s">
        <v>115</v>
      </c>
      <c r="B28" s="3" t="n">
        <v>45323</v>
      </c>
      <c r="C28" s="2" t="s">
        <v>116</v>
      </c>
      <c r="D28" s="2" t="s">
        <v>46</v>
      </c>
      <c r="E28" s="2" t="s">
        <v>47</v>
      </c>
      <c r="F28" s="2" t="s">
        <v>29</v>
      </c>
      <c r="G28" s="2" t="s">
        <v>30</v>
      </c>
      <c r="H28" s="2" t="s">
        <v>88</v>
      </c>
      <c r="I28" s="2" t="s">
        <v>89</v>
      </c>
      <c r="J28" s="4" t="n">
        <v>5</v>
      </c>
      <c r="K28" s="5" t="n">
        <v>700</v>
      </c>
      <c r="L28" s="5" t="n">
        <f aca="false">J28*K28</f>
        <v>3500</v>
      </c>
      <c r="M28" s="2" t="s">
        <v>23</v>
      </c>
      <c r="N28" s="4" t="s">
        <v>24</v>
      </c>
      <c r="O28" s="4" t="n">
        <v>3</v>
      </c>
    </row>
    <row r="29" customFormat="false" ht="15" hidden="false" customHeight="false" outlineLevel="0" collapsed="false">
      <c r="A29" s="6" t="s">
        <v>117</v>
      </c>
      <c r="B29" s="7" t="n">
        <v>45387</v>
      </c>
      <c r="C29" s="6" t="s">
        <v>62</v>
      </c>
      <c r="D29" s="6" t="s">
        <v>87</v>
      </c>
      <c r="E29" s="6" t="s">
        <v>87</v>
      </c>
      <c r="F29" s="6" t="s">
        <v>19</v>
      </c>
      <c r="G29" s="6" t="s">
        <v>30</v>
      </c>
      <c r="H29" s="6" t="s">
        <v>49</v>
      </c>
      <c r="I29" s="6" t="s">
        <v>50</v>
      </c>
      <c r="J29" s="8" t="n">
        <v>5</v>
      </c>
      <c r="K29" s="9" t="n">
        <v>2100</v>
      </c>
      <c r="L29" s="9" t="n">
        <f aca="false">J29*K29</f>
        <v>10500</v>
      </c>
      <c r="M29" s="6" t="s">
        <v>51</v>
      </c>
      <c r="N29" s="8" t="s">
        <v>24</v>
      </c>
      <c r="O29" s="6"/>
    </row>
    <row r="30" customFormat="false" ht="15" hidden="false" customHeight="false" outlineLevel="0" collapsed="false">
      <c r="A30" s="2" t="s">
        <v>118</v>
      </c>
      <c r="B30" s="3" t="n">
        <v>45609</v>
      </c>
      <c r="C30" s="2" t="s">
        <v>119</v>
      </c>
      <c r="D30" s="2" t="s">
        <v>59</v>
      </c>
      <c r="E30" s="2" t="s">
        <v>47</v>
      </c>
      <c r="F30" s="2" t="s">
        <v>48</v>
      </c>
      <c r="G30" s="2" t="s">
        <v>20</v>
      </c>
      <c r="H30" s="2" t="s">
        <v>55</v>
      </c>
      <c r="I30" s="2" t="s">
        <v>56</v>
      </c>
      <c r="J30" s="4" t="n">
        <v>3</v>
      </c>
      <c r="K30" s="5" t="n">
        <v>1500</v>
      </c>
      <c r="L30" s="5" t="n">
        <f aca="false">J30*K30</f>
        <v>4500</v>
      </c>
      <c r="M30" s="2" t="s">
        <v>23</v>
      </c>
      <c r="N30" s="4" t="s">
        <v>24</v>
      </c>
      <c r="O30" s="4" t="n">
        <v>5</v>
      </c>
    </row>
    <row r="31" customFormat="false" ht="15" hidden="false" customHeight="false" outlineLevel="0" collapsed="false">
      <c r="A31" s="6" t="s">
        <v>120</v>
      </c>
      <c r="B31" s="7" t="n">
        <v>45622</v>
      </c>
      <c r="C31" s="6" t="s">
        <v>121</v>
      </c>
      <c r="D31" s="6" t="s">
        <v>59</v>
      </c>
      <c r="E31" s="6" t="s">
        <v>47</v>
      </c>
      <c r="F31" s="6" t="s">
        <v>19</v>
      </c>
      <c r="G31" s="6" t="s">
        <v>54</v>
      </c>
      <c r="H31" s="6" t="s">
        <v>84</v>
      </c>
      <c r="I31" s="6" t="s">
        <v>32</v>
      </c>
      <c r="J31" s="8" t="n">
        <v>5</v>
      </c>
      <c r="K31" s="9" t="n">
        <v>3200</v>
      </c>
      <c r="L31" s="9" t="n">
        <f aca="false">J31*K31</f>
        <v>16000</v>
      </c>
      <c r="M31" s="6" t="s">
        <v>23</v>
      </c>
      <c r="N31" s="8" t="s">
        <v>24</v>
      </c>
      <c r="O31" s="8" t="n">
        <v>3</v>
      </c>
    </row>
    <row r="32" customFormat="false" ht="15" hidden="false" customHeight="false" outlineLevel="0" collapsed="false">
      <c r="A32" s="2" t="s">
        <v>122</v>
      </c>
      <c r="B32" s="3" t="n">
        <v>45551</v>
      </c>
      <c r="C32" s="2" t="s">
        <v>123</v>
      </c>
      <c r="D32" s="2" t="s">
        <v>59</v>
      </c>
      <c r="E32" s="2" t="s">
        <v>47</v>
      </c>
      <c r="F32" s="2" t="s">
        <v>19</v>
      </c>
      <c r="G32" s="2" t="s">
        <v>20</v>
      </c>
      <c r="H32" s="2" t="s">
        <v>60</v>
      </c>
      <c r="I32" s="2" t="s">
        <v>32</v>
      </c>
      <c r="J32" s="4" t="n">
        <v>3</v>
      </c>
      <c r="K32" s="5" t="n">
        <v>6900</v>
      </c>
      <c r="L32" s="5" t="n">
        <f aca="false">J32*K32</f>
        <v>20700</v>
      </c>
      <c r="M32" s="2" t="s">
        <v>66</v>
      </c>
      <c r="N32" s="4" t="s">
        <v>24</v>
      </c>
      <c r="O32" s="2"/>
    </row>
    <row r="33" customFormat="false" ht="15" hidden="false" customHeight="false" outlineLevel="0" collapsed="false">
      <c r="A33" s="6" t="s">
        <v>124</v>
      </c>
      <c r="B33" s="7" t="n">
        <v>45652</v>
      </c>
      <c r="C33" s="6" t="s">
        <v>125</v>
      </c>
      <c r="D33" s="6" t="s">
        <v>46</v>
      </c>
      <c r="E33" s="6" t="s">
        <v>47</v>
      </c>
      <c r="F33" s="6" t="s">
        <v>29</v>
      </c>
      <c r="G33" s="6" t="s">
        <v>20</v>
      </c>
      <c r="H33" s="6" t="s">
        <v>72</v>
      </c>
      <c r="I33" s="6" t="s">
        <v>73</v>
      </c>
      <c r="J33" s="8" t="n">
        <v>1</v>
      </c>
      <c r="K33" s="9" t="n">
        <v>800</v>
      </c>
      <c r="L33" s="9" t="n">
        <f aca="false">J33*K33</f>
        <v>800</v>
      </c>
      <c r="M33" s="6" t="s">
        <v>23</v>
      </c>
      <c r="N33" s="8" t="s">
        <v>24</v>
      </c>
      <c r="O33" s="8" t="n">
        <v>3</v>
      </c>
    </row>
    <row r="34" customFormat="false" ht="15" hidden="false" customHeight="false" outlineLevel="0" collapsed="false">
      <c r="A34" s="2" t="s">
        <v>126</v>
      </c>
      <c r="B34" s="3" t="n">
        <v>45575</v>
      </c>
      <c r="C34" s="2" t="s">
        <v>127</v>
      </c>
      <c r="D34" s="2" t="s">
        <v>17</v>
      </c>
      <c r="E34" s="2" t="s">
        <v>18</v>
      </c>
      <c r="F34" s="2" t="s">
        <v>29</v>
      </c>
      <c r="G34" s="2" t="s">
        <v>20</v>
      </c>
      <c r="H34" s="2" t="s">
        <v>128</v>
      </c>
      <c r="I34" s="2" t="s">
        <v>129</v>
      </c>
      <c r="J34" s="4" t="n">
        <v>3</v>
      </c>
      <c r="K34" s="5" t="n">
        <v>200</v>
      </c>
      <c r="L34" s="5" t="n">
        <f aca="false">J34*K34</f>
        <v>600</v>
      </c>
      <c r="M34" s="2" t="s">
        <v>33</v>
      </c>
      <c r="N34" s="4" t="s">
        <v>24</v>
      </c>
      <c r="O34" s="2"/>
    </row>
    <row r="35" customFormat="false" ht="15" hidden="false" customHeight="false" outlineLevel="0" collapsed="false">
      <c r="A35" s="6" t="s">
        <v>130</v>
      </c>
      <c r="B35" s="7" t="n">
        <v>45427</v>
      </c>
      <c r="C35" s="6" t="s">
        <v>131</v>
      </c>
      <c r="D35" s="6" t="s">
        <v>17</v>
      </c>
      <c r="E35" s="6" t="s">
        <v>18</v>
      </c>
      <c r="F35" s="6" t="s">
        <v>19</v>
      </c>
      <c r="G35" s="6" t="s">
        <v>54</v>
      </c>
      <c r="H35" s="6" t="s">
        <v>55</v>
      </c>
      <c r="I35" s="6" t="s">
        <v>56</v>
      </c>
      <c r="J35" s="8" t="n">
        <v>4</v>
      </c>
      <c r="K35" s="9" t="n">
        <v>1600</v>
      </c>
      <c r="L35" s="9" t="n">
        <f aca="false">J35*K35</f>
        <v>6400</v>
      </c>
      <c r="M35" s="6" t="s">
        <v>23</v>
      </c>
      <c r="N35" s="8" t="s">
        <v>41</v>
      </c>
      <c r="O35" s="8" t="n">
        <v>3</v>
      </c>
    </row>
    <row r="36" customFormat="false" ht="15" hidden="false" customHeight="false" outlineLevel="0" collapsed="false">
      <c r="A36" s="2" t="s">
        <v>132</v>
      </c>
      <c r="B36" s="3" t="n">
        <v>45618</v>
      </c>
      <c r="C36" s="2" t="s">
        <v>123</v>
      </c>
      <c r="D36" s="2" t="s">
        <v>36</v>
      </c>
      <c r="E36" s="2" t="s">
        <v>37</v>
      </c>
      <c r="F36" s="2" t="s">
        <v>29</v>
      </c>
      <c r="G36" s="2" t="s">
        <v>30</v>
      </c>
      <c r="H36" s="2" t="s">
        <v>110</v>
      </c>
      <c r="I36" s="2" t="s">
        <v>22</v>
      </c>
      <c r="J36" s="4" t="n">
        <v>5</v>
      </c>
      <c r="K36" s="5" t="n">
        <v>200</v>
      </c>
      <c r="L36" s="5" t="n">
        <f aca="false">J36*K36</f>
        <v>1000</v>
      </c>
      <c r="M36" s="2" t="s">
        <v>23</v>
      </c>
      <c r="N36" s="4" t="s">
        <v>24</v>
      </c>
      <c r="O36" s="4" t="n">
        <v>5</v>
      </c>
    </row>
    <row r="37" customFormat="false" ht="15" hidden="false" customHeight="false" outlineLevel="0" collapsed="false">
      <c r="A37" s="6" t="s">
        <v>133</v>
      </c>
      <c r="B37" s="7" t="n">
        <v>45368</v>
      </c>
      <c r="C37" s="6" t="s">
        <v>134</v>
      </c>
      <c r="D37" s="6" t="s">
        <v>59</v>
      </c>
      <c r="E37" s="6" t="s">
        <v>47</v>
      </c>
      <c r="F37" s="6" t="s">
        <v>29</v>
      </c>
      <c r="G37" s="6" t="s">
        <v>30</v>
      </c>
      <c r="H37" s="6" t="s">
        <v>21</v>
      </c>
      <c r="I37" s="6" t="s">
        <v>22</v>
      </c>
      <c r="J37" s="8" t="n">
        <v>4</v>
      </c>
      <c r="K37" s="9" t="n">
        <v>600</v>
      </c>
      <c r="L37" s="9" t="n">
        <f aca="false">J37*K37</f>
        <v>2400</v>
      </c>
      <c r="M37" s="6" t="s">
        <v>23</v>
      </c>
      <c r="N37" s="8" t="s">
        <v>24</v>
      </c>
      <c r="O37" s="8" t="n">
        <v>3</v>
      </c>
    </row>
    <row r="38" customFormat="false" ht="15" hidden="false" customHeight="false" outlineLevel="0" collapsed="false">
      <c r="A38" s="2" t="s">
        <v>135</v>
      </c>
      <c r="B38" s="3" t="n">
        <v>45475</v>
      </c>
      <c r="C38" s="2" t="s">
        <v>136</v>
      </c>
      <c r="D38" s="2" t="s">
        <v>87</v>
      </c>
      <c r="E38" s="2" t="s">
        <v>87</v>
      </c>
      <c r="F38" s="2" t="s">
        <v>48</v>
      </c>
      <c r="G38" s="2" t="s">
        <v>30</v>
      </c>
      <c r="H38" s="2" t="s">
        <v>72</v>
      </c>
      <c r="I38" s="2" t="s">
        <v>73</v>
      </c>
      <c r="J38" s="4" t="n">
        <v>4</v>
      </c>
      <c r="K38" s="5" t="n">
        <v>800</v>
      </c>
      <c r="L38" s="5" t="n">
        <f aca="false">J38*K38</f>
        <v>3200</v>
      </c>
      <c r="M38" s="2" t="s">
        <v>23</v>
      </c>
      <c r="N38" s="4" t="s">
        <v>24</v>
      </c>
      <c r="O38" s="4" t="n">
        <v>3</v>
      </c>
    </row>
    <row r="39" customFormat="false" ht="15" hidden="false" customHeight="false" outlineLevel="0" collapsed="false">
      <c r="A39" s="6" t="s">
        <v>137</v>
      </c>
      <c r="B39" s="7" t="n">
        <v>45503</v>
      </c>
      <c r="C39" s="6" t="s">
        <v>138</v>
      </c>
      <c r="D39" s="6" t="s">
        <v>59</v>
      </c>
      <c r="E39" s="6" t="s">
        <v>47</v>
      </c>
      <c r="F39" s="6" t="s">
        <v>48</v>
      </c>
      <c r="G39" s="6" t="s">
        <v>30</v>
      </c>
      <c r="H39" s="6" t="s">
        <v>69</v>
      </c>
      <c r="I39" s="6" t="s">
        <v>50</v>
      </c>
      <c r="J39" s="8" t="n">
        <v>2</v>
      </c>
      <c r="K39" s="9" t="n">
        <v>2700</v>
      </c>
      <c r="L39" s="9" t="n">
        <f aca="false">J39*K39</f>
        <v>5400</v>
      </c>
      <c r="M39" s="6" t="s">
        <v>23</v>
      </c>
      <c r="N39" s="8" t="s">
        <v>24</v>
      </c>
      <c r="O39" s="8" t="n">
        <v>3</v>
      </c>
    </row>
    <row r="40" customFormat="false" ht="15" hidden="false" customHeight="false" outlineLevel="0" collapsed="false">
      <c r="A40" s="2" t="s">
        <v>139</v>
      </c>
      <c r="B40" s="3" t="n">
        <v>45487</v>
      </c>
      <c r="C40" s="2" t="s">
        <v>140</v>
      </c>
      <c r="D40" s="2" t="s">
        <v>27</v>
      </c>
      <c r="E40" s="2" t="s">
        <v>28</v>
      </c>
      <c r="F40" s="2" t="s">
        <v>19</v>
      </c>
      <c r="G40" s="2" t="s">
        <v>30</v>
      </c>
      <c r="H40" s="2" t="s">
        <v>60</v>
      </c>
      <c r="I40" s="2" t="s">
        <v>32</v>
      </c>
      <c r="J40" s="4" t="n">
        <v>3</v>
      </c>
      <c r="K40" s="5" t="n">
        <v>7800</v>
      </c>
      <c r="L40" s="5" t="n">
        <f aca="false">J40*K40</f>
        <v>23400</v>
      </c>
      <c r="M40" s="2" t="s">
        <v>23</v>
      </c>
      <c r="N40" s="4" t="s">
        <v>41</v>
      </c>
      <c r="O40" s="4" t="n">
        <v>3</v>
      </c>
    </row>
    <row r="41" customFormat="false" ht="15" hidden="false" customHeight="false" outlineLevel="0" collapsed="false">
      <c r="A41" s="6" t="s">
        <v>141</v>
      </c>
      <c r="B41" s="7" t="n">
        <v>45496</v>
      </c>
      <c r="C41" s="6" t="s">
        <v>142</v>
      </c>
      <c r="D41" s="6" t="s">
        <v>87</v>
      </c>
      <c r="E41" s="6" t="s">
        <v>87</v>
      </c>
      <c r="F41" s="6" t="s">
        <v>48</v>
      </c>
      <c r="G41" s="6" t="s">
        <v>20</v>
      </c>
      <c r="H41" s="6" t="s">
        <v>55</v>
      </c>
      <c r="I41" s="6" t="s">
        <v>56</v>
      </c>
      <c r="J41" s="8" t="n">
        <v>5</v>
      </c>
      <c r="K41" s="9" t="n">
        <v>2000</v>
      </c>
      <c r="L41" s="9" t="n">
        <f aca="false">J41*K41</f>
        <v>10000</v>
      </c>
      <c r="M41" s="6" t="s">
        <v>33</v>
      </c>
      <c r="N41" s="8" t="s">
        <v>24</v>
      </c>
      <c r="O41" s="6"/>
    </row>
    <row r="42" customFormat="false" ht="15" hidden="false" customHeight="false" outlineLevel="0" collapsed="false">
      <c r="A42" s="2" t="s">
        <v>143</v>
      </c>
      <c r="B42" s="3" t="n">
        <v>45566</v>
      </c>
      <c r="C42" s="2" t="s">
        <v>116</v>
      </c>
      <c r="D42" s="2" t="s">
        <v>87</v>
      </c>
      <c r="E42" s="2" t="s">
        <v>87</v>
      </c>
      <c r="F42" s="2" t="s">
        <v>48</v>
      </c>
      <c r="G42" s="2" t="s">
        <v>20</v>
      </c>
      <c r="H42" s="2" t="s">
        <v>144</v>
      </c>
      <c r="I42" s="2" t="s">
        <v>114</v>
      </c>
      <c r="J42" s="4" t="n">
        <v>3</v>
      </c>
      <c r="K42" s="5" t="n">
        <v>1000</v>
      </c>
      <c r="L42" s="5" t="n">
        <f aca="false">J42*K42</f>
        <v>3000</v>
      </c>
      <c r="M42" s="2" t="s">
        <v>23</v>
      </c>
      <c r="N42" s="4" t="s">
        <v>24</v>
      </c>
      <c r="O42" s="4" t="n">
        <v>4</v>
      </c>
    </row>
    <row r="43" customFormat="false" ht="15" hidden="false" customHeight="false" outlineLevel="0" collapsed="false">
      <c r="A43" s="6" t="s">
        <v>145</v>
      </c>
      <c r="B43" s="7" t="n">
        <v>45452</v>
      </c>
      <c r="C43" s="6" t="s">
        <v>146</v>
      </c>
      <c r="D43" s="6" t="s">
        <v>87</v>
      </c>
      <c r="E43" s="6" t="s">
        <v>87</v>
      </c>
      <c r="F43" s="6" t="s">
        <v>48</v>
      </c>
      <c r="G43" s="6" t="s">
        <v>30</v>
      </c>
      <c r="H43" s="6" t="s">
        <v>65</v>
      </c>
      <c r="I43" s="6" t="s">
        <v>39</v>
      </c>
      <c r="J43" s="8" t="n">
        <v>3</v>
      </c>
      <c r="K43" s="9" t="n">
        <v>2100</v>
      </c>
      <c r="L43" s="9" t="n">
        <f aca="false">J43*K43</f>
        <v>6300</v>
      </c>
      <c r="M43" s="6" t="s">
        <v>33</v>
      </c>
      <c r="N43" s="8" t="s">
        <v>24</v>
      </c>
      <c r="O43" s="6"/>
    </row>
    <row r="44" customFormat="false" ht="15" hidden="false" customHeight="false" outlineLevel="0" collapsed="false">
      <c r="A44" s="2" t="s">
        <v>147</v>
      </c>
      <c r="B44" s="3" t="n">
        <v>45558</v>
      </c>
      <c r="C44" s="2" t="s">
        <v>68</v>
      </c>
      <c r="D44" s="2" t="s">
        <v>59</v>
      </c>
      <c r="E44" s="2" t="s">
        <v>47</v>
      </c>
      <c r="F44" s="2" t="s">
        <v>48</v>
      </c>
      <c r="G44" s="2" t="s">
        <v>54</v>
      </c>
      <c r="H44" s="2" t="s">
        <v>55</v>
      </c>
      <c r="I44" s="2" t="s">
        <v>56</v>
      </c>
      <c r="J44" s="4" t="n">
        <v>3</v>
      </c>
      <c r="K44" s="5" t="n">
        <v>1800</v>
      </c>
      <c r="L44" s="5" t="n">
        <f aca="false">J44*K44</f>
        <v>5400</v>
      </c>
      <c r="M44" s="2" t="s">
        <v>33</v>
      </c>
      <c r="N44" s="4" t="s">
        <v>24</v>
      </c>
      <c r="O44" s="2"/>
    </row>
    <row r="45" customFormat="false" ht="15" hidden="false" customHeight="false" outlineLevel="0" collapsed="false">
      <c r="A45" s="6" t="s">
        <v>148</v>
      </c>
      <c r="B45" s="7" t="n">
        <v>45445</v>
      </c>
      <c r="C45" s="6" t="s">
        <v>149</v>
      </c>
      <c r="D45" s="6" t="s">
        <v>76</v>
      </c>
      <c r="E45" s="6" t="s">
        <v>77</v>
      </c>
      <c r="F45" s="6" t="s">
        <v>48</v>
      </c>
      <c r="G45" s="6" t="s">
        <v>30</v>
      </c>
      <c r="H45" s="6" t="s">
        <v>128</v>
      </c>
      <c r="I45" s="6" t="s">
        <v>129</v>
      </c>
      <c r="J45" s="8" t="n">
        <v>3</v>
      </c>
      <c r="K45" s="9" t="n">
        <v>500</v>
      </c>
      <c r="L45" s="9" t="n">
        <f aca="false">J45*K45</f>
        <v>1500</v>
      </c>
      <c r="M45" s="6" t="s">
        <v>23</v>
      </c>
      <c r="N45" s="8" t="s">
        <v>24</v>
      </c>
      <c r="O45" s="8" t="n">
        <v>5</v>
      </c>
    </row>
    <row r="46" customFormat="false" ht="15" hidden="false" customHeight="false" outlineLevel="0" collapsed="false">
      <c r="A46" s="2" t="s">
        <v>150</v>
      </c>
      <c r="B46" s="3" t="n">
        <v>45486</v>
      </c>
      <c r="C46" s="2" t="s">
        <v>151</v>
      </c>
      <c r="D46" s="2" t="s">
        <v>17</v>
      </c>
      <c r="E46" s="2" t="s">
        <v>18</v>
      </c>
      <c r="F46" s="2" t="s">
        <v>48</v>
      </c>
      <c r="G46" s="2" t="s">
        <v>30</v>
      </c>
      <c r="H46" s="2" t="s">
        <v>69</v>
      </c>
      <c r="I46" s="2" t="s">
        <v>50</v>
      </c>
      <c r="J46" s="4" t="n">
        <v>1</v>
      </c>
      <c r="K46" s="5" t="n">
        <v>2800</v>
      </c>
      <c r="L46" s="5" t="n">
        <f aca="false">J46*K46</f>
        <v>2800</v>
      </c>
      <c r="M46" s="2" t="s">
        <v>23</v>
      </c>
      <c r="N46" s="4" t="s">
        <v>24</v>
      </c>
      <c r="O46" s="4" t="n">
        <v>5</v>
      </c>
    </row>
    <row r="47" customFormat="false" ht="15" hidden="false" customHeight="false" outlineLevel="0" collapsed="false">
      <c r="A47" s="6" t="s">
        <v>152</v>
      </c>
      <c r="B47" s="7" t="n">
        <v>45602</v>
      </c>
      <c r="C47" s="6" t="s">
        <v>153</v>
      </c>
      <c r="D47" s="6" t="s">
        <v>36</v>
      </c>
      <c r="E47" s="6" t="s">
        <v>37</v>
      </c>
      <c r="F47" s="6" t="s">
        <v>48</v>
      </c>
      <c r="G47" s="6" t="s">
        <v>30</v>
      </c>
      <c r="H47" s="6" t="s">
        <v>65</v>
      </c>
      <c r="I47" s="6" t="s">
        <v>39</v>
      </c>
      <c r="J47" s="8" t="n">
        <v>5</v>
      </c>
      <c r="K47" s="9" t="n">
        <v>4900</v>
      </c>
      <c r="L47" s="9" t="n">
        <f aca="false">J47*K47</f>
        <v>24500</v>
      </c>
      <c r="M47" s="6" t="s">
        <v>40</v>
      </c>
      <c r="N47" s="8" t="s">
        <v>41</v>
      </c>
      <c r="O47" s="6"/>
    </row>
    <row r="48" customFormat="false" ht="15" hidden="false" customHeight="false" outlineLevel="0" collapsed="false">
      <c r="A48" s="2" t="s">
        <v>154</v>
      </c>
      <c r="B48" s="3" t="n">
        <v>45378</v>
      </c>
      <c r="C48" s="2" t="s">
        <v>155</v>
      </c>
      <c r="D48" s="2" t="s">
        <v>59</v>
      </c>
      <c r="E48" s="2" t="s">
        <v>47</v>
      </c>
      <c r="F48" s="2" t="s">
        <v>19</v>
      </c>
      <c r="G48" s="2" t="s">
        <v>20</v>
      </c>
      <c r="H48" s="2" t="s">
        <v>55</v>
      </c>
      <c r="I48" s="2" t="s">
        <v>56</v>
      </c>
      <c r="J48" s="4" t="n">
        <v>3</v>
      </c>
      <c r="K48" s="5" t="n">
        <v>1500</v>
      </c>
      <c r="L48" s="5" t="n">
        <f aca="false">J48*K48</f>
        <v>4500</v>
      </c>
      <c r="M48" s="2" t="s">
        <v>40</v>
      </c>
      <c r="N48" s="4" t="s">
        <v>41</v>
      </c>
      <c r="O48" s="2"/>
    </row>
    <row r="49" customFormat="false" ht="15" hidden="false" customHeight="false" outlineLevel="0" collapsed="false">
      <c r="A49" s="6" t="s">
        <v>156</v>
      </c>
      <c r="B49" s="7" t="n">
        <v>45393</v>
      </c>
      <c r="C49" s="6" t="s">
        <v>157</v>
      </c>
      <c r="D49" s="6" t="s">
        <v>46</v>
      </c>
      <c r="E49" s="6" t="s">
        <v>47</v>
      </c>
      <c r="F49" s="6" t="s">
        <v>19</v>
      </c>
      <c r="G49" s="6" t="s">
        <v>30</v>
      </c>
      <c r="H49" s="6" t="s">
        <v>144</v>
      </c>
      <c r="I49" s="6" t="s">
        <v>114</v>
      </c>
      <c r="J49" s="8" t="n">
        <v>1</v>
      </c>
      <c r="K49" s="9" t="n">
        <v>2300</v>
      </c>
      <c r="L49" s="9" t="n">
        <f aca="false">J49*K49</f>
        <v>2300</v>
      </c>
      <c r="M49" s="6" t="s">
        <v>66</v>
      </c>
      <c r="N49" s="8" t="s">
        <v>24</v>
      </c>
      <c r="O49" s="6"/>
    </row>
    <row r="50" customFormat="false" ht="15" hidden="false" customHeight="false" outlineLevel="0" collapsed="false">
      <c r="A50" s="2" t="s">
        <v>158</v>
      </c>
      <c r="B50" s="3" t="n">
        <v>45586</v>
      </c>
      <c r="C50" s="2" t="s">
        <v>159</v>
      </c>
      <c r="D50" s="2" t="s">
        <v>36</v>
      </c>
      <c r="E50" s="2" t="s">
        <v>37</v>
      </c>
      <c r="F50" s="2" t="s">
        <v>48</v>
      </c>
      <c r="G50" s="2" t="s">
        <v>20</v>
      </c>
      <c r="H50" s="2" t="s">
        <v>21</v>
      </c>
      <c r="I50" s="2" t="s">
        <v>22</v>
      </c>
      <c r="J50" s="4" t="n">
        <v>1</v>
      </c>
      <c r="K50" s="5" t="n">
        <v>500</v>
      </c>
      <c r="L50" s="5" t="n">
        <f aca="false">J50*K50</f>
        <v>500</v>
      </c>
      <c r="M50" s="2" t="s">
        <v>40</v>
      </c>
      <c r="N50" s="4" t="s">
        <v>41</v>
      </c>
      <c r="O50" s="2"/>
    </row>
    <row r="51" customFormat="false" ht="15" hidden="false" customHeight="false" outlineLevel="0" collapsed="false">
      <c r="A51" s="6" t="s">
        <v>160</v>
      </c>
      <c r="B51" s="7" t="n">
        <v>45509</v>
      </c>
      <c r="C51" s="6" t="s">
        <v>161</v>
      </c>
      <c r="D51" s="6" t="s">
        <v>36</v>
      </c>
      <c r="E51" s="6" t="s">
        <v>37</v>
      </c>
      <c r="F51" s="6" t="s">
        <v>19</v>
      </c>
      <c r="G51" s="6" t="s">
        <v>30</v>
      </c>
      <c r="H51" s="6" t="s">
        <v>65</v>
      </c>
      <c r="I51" s="6" t="s">
        <v>39</v>
      </c>
      <c r="J51" s="8" t="n">
        <v>1</v>
      </c>
      <c r="K51" s="9" t="n">
        <v>4800</v>
      </c>
      <c r="L51" s="9" t="n">
        <f aca="false">J51*K51</f>
        <v>4800</v>
      </c>
      <c r="M51" s="6" t="s">
        <v>23</v>
      </c>
      <c r="N51" s="8" t="s">
        <v>24</v>
      </c>
      <c r="O51" s="8" t="n">
        <v>5</v>
      </c>
    </row>
    <row r="52" customFormat="false" ht="15" hidden="false" customHeight="false" outlineLevel="0" collapsed="false">
      <c r="A52" s="2" t="s">
        <v>162</v>
      </c>
      <c r="B52" s="3" t="n">
        <v>45563</v>
      </c>
      <c r="C52" s="2" t="s">
        <v>163</v>
      </c>
      <c r="D52" s="2" t="s">
        <v>59</v>
      </c>
      <c r="E52" s="2" t="s">
        <v>47</v>
      </c>
      <c r="F52" s="2" t="s">
        <v>48</v>
      </c>
      <c r="G52" s="2" t="s">
        <v>30</v>
      </c>
      <c r="H52" s="2" t="s">
        <v>69</v>
      </c>
      <c r="I52" s="2" t="s">
        <v>50</v>
      </c>
      <c r="J52" s="4" t="n">
        <v>5</v>
      </c>
      <c r="K52" s="5" t="n">
        <v>3200</v>
      </c>
      <c r="L52" s="5" t="n">
        <f aca="false">J52*K52</f>
        <v>16000</v>
      </c>
      <c r="M52" s="2" t="s">
        <v>40</v>
      </c>
      <c r="N52" s="4" t="s">
        <v>41</v>
      </c>
      <c r="O52" s="2"/>
    </row>
    <row r="53" customFormat="false" ht="15" hidden="false" customHeight="false" outlineLevel="0" collapsed="false">
      <c r="A53" s="6" t="s">
        <v>164</v>
      </c>
      <c r="B53" s="7" t="n">
        <v>45572</v>
      </c>
      <c r="C53" s="6" t="s">
        <v>165</v>
      </c>
      <c r="D53" s="6" t="s">
        <v>36</v>
      </c>
      <c r="E53" s="6" t="s">
        <v>37</v>
      </c>
      <c r="F53" s="6" t="s">
        <v>48</v>
      </c>
      <c r="G53" s="6" t="s">
        <v>20</v>
      </c>
      <c r="H53" s="6" t="s">
        <v>38</v>
      </c>
      <c r="I53" s="6" t="s">
        <v>39</v>
      </c>
      <c r="J53" s="8" t="n">
        <v>2</v>
      </c>
      <c r="K53" s="9" t="n">
        <v>7900</v>
      </c>
      <c r="L53" s="9" t="n">
        <f aca="false">J53*K53</f>
        <v>15800</v>
      </c>
      <c r="M53" s="6" t="s">
        <v>23</v>
      </c>
      <c r="N53" s="8" t="s">
        <v>24</v>
      </c>
      <c r="O53" s="8" t="n">
        <v>5</v>
      </c>
    </row>
    <row r="54" customFormat="false" ht="15" hidden="false" customHeight="false" outlineLevel="0" collapsed="false">
      <c r="A54" s="2" t="s">
        <v>166</v>
      </c>
      <c r="B54" s="3" t="n">
        <v>45540</v>
      </c>
      <c r="C54" s="2" t="s">
        <v>167</v>
      </c>
      <c r="D54" s="2" t="s">
        <v>36</v>
      </c>
      <c r="E54" s="2" t="s">
        <v>37</v>
      </c>
      <c r="F54" s="2" t="s">
        <v>19</v>
      </c>
      <c r="G54" s="2" t="s">
        <v>30</v>
      </c>
      <c r="H54" s="2" t="s">
        <v>113</v>
      </c>
      <c r="I54" s="2" t="s">
        <v>114</v>
      </c>
      <c r="J54" s="4" t="n">
        <v>2</v>
      </c>
      <c r="K54" s="5" t="n">
        <v>1500</v>
      </c>
      <c r="L54" s="5" t="n">
        <f aca="false">J54*K54</f>
        <v>3000</v>
      </c>
      <c r="M54" s="2" t="s">
        <v>23</v>
      </c>
      <c r="N54" s="4" t="s">
        <v>24</v>
      </c>
      <c r="O54" s="4" t="n">
        <v>5</v>
      </c>
    </row>
    <row r="55" customFormat="false" ht="15" hidden="false" customHeight="false" outlineLevel="0" collapsed="false">
      <c r="A55" s="6" t="s">
        <v>168</v>
      </c>
      <c r="B55" s="7" t="n">
        <v>45333</v>
      </c>
      <c r="C55" s="6" t="s">
        <v>169</v>
      </c>
      <c r="D55" s="6" t="s">
        <v>27</v>
      </c>
      <c r="E55" s="6" t="s">
        <v>28</v>
      </c>
      <c r="F55" s="6" t="s">
        <v>48</v>
      </c>
      <c r="G55" s="6" t="s">
        <v>30</v>
      </c>
      <c r="H55" s="6" t="s">
        <v>21</v>
      </c>
      <c r="I55" s="6" t="s">
        <v>22</v>
      </c>
      <c r="J55" s="8" t="n">
        <v>2</v>
      </c>
      <c r="K55" s="9" t="n">
        <v>500</v>
      </c>
      <c r="L55" s="9" t="n">
        <f aca="false">J55*K55</f>
        <v>1000</v>
      </c>
      <c r="M55" s="6" t="s">
        <v>66</v>
      </c>
      <c r="N55" s="8" t="s">
        <v>24</v>
      </c>
      <c r="O55" s="6"/>
    </row>
    <row r="56" customFormat="false" ht="15" hidden="false" customHeight="false" outlineLevel="0" collapsed="false">
      <c r="A56" s="2" t="s">
        <v>170</v>
      </c>
      <c r="B56" s="3" t="n">
        <v>45569</v>
      </c>
      <c r="C56" s="2" t="s">
        <v>171</v>
      </c>
      <c r="D56" s="2" t="s">
        <v>46</v>
      </c>
      <c r="E56" s="2" t="s">
        <v>47</v>
      </c>
      <c r="F56" s="2" t="s">
        <v>19</v>
      </c>
      <c r="G56" s="2" t="s">
        <v>30</v>
      </c>
      <c r="H56" s="2" t="s">
        <v>110</v>
      </c>
      <c r="I56" s="2" t="s">
        <v>22</v>
      </c>
      <c r="J56" s="4" t="n">
        <v>5</v>
      </c>
      <c r="K56" s="5" t="n">
        <v>700</v>
      </c>
      <c r="L56" s="5" t="n">
        <f aca="false">J56*K56</f>
        <v>3500</v>
      </c>
      <c r="M56" s="2" t="s">
        <v>23</v>
      </c>
      <c r="N56" s="4" t="s">
        <v>24</v>
      </c>
      <c r="O56" s="4" t="n">
        <v>5</v>
      </c>
    </row>
    <row r="57" customFormat="false" ht="15" hidden="false" customHeight="false" outlineLevel="0" collapsed="false">
      <c r="A57" s="6" t="s">
        <v>172</v>
      </c>
      <c r="B57" s="7" t="n">
        <v>45486</v>
      </c>
      <c r="C57" s="6" t="s">
        <v>173</v>
      </c>
      <c r="D57" s="6" t="s">
        <v>59</v>
      </c>
      <c r="E57" s="6" t="s">
        <v>47</v>
      </c>
      <c r="F57" s="6" t="s">
        <v>48</v>
      </c>
      <c r="G57" s="6" t="s">
        <v>30</v>
      </c>
      <c r="H57" s="6" t="s">
        <v>69</v>
      </c>
      <c r="I57" s="6" t="s">
        <v>50</v>
      </c>
      <c r="J57" s="8" t="n">
        <v>4</v>
      </c>
      <c r="K57" s="9" t="n">
        <v>3600</v>
      </c>
      <c r="L57" s="9" t="n">
        <f aca="false">J57*K57</f>
        <v>14400</v>
      </c>
      <c r="M57" s="6" t="s">
        <v>33</v>
      </c>
      <c r="N57" s="8" t="s">
        <v>24</v>
      </c>
      <c r="O57" s="6"/>
    </row>
    <row r="58" customFormat="false" ht="15" hidden="false" customHeight="false" outlineLevel="0" collapsed="false">
      <c r="A58" s="2" t="s">
        <v>174</v>
      </c>
      <c r="B58" s="3" t="n">
        <v>45600</v>
      </c>
      <c r="C58" s="2" t="s">
        <v>175</v>
      </c>
      <c r="D58" s="2" t="s">
        <v>27</v>
      </c>
      <c r="E58" s="2" t="s">
        <v>28</v>
      </c>
      <c r="F58" s="2" t="s">
        <v>48</v>
      </c>
      <c r="G58" s="2" t="s">
        <v>30</v>
      </c>
      <c r="H58" s="2" t="s">
        <v>84</v>
      </c>
      <c r="I58" s="2" t="s">
        <v>32</v>
      </c>
      <c r="J58" s="4" t="n">
        <v>1</v>
      </c>
      <c r="K58" s="5" t="n">
        <v>2600</v>
      </c>
      <c r="L58" s="5" t="n">
        <f aca="false">J58*K58</f>
        <v>2600</v>
      </c>
      <c r="M58" s="2" t="s">
        <v>23</v>
      </c>
      <c r="N58" s="4" t="s">
        <v>24</v>
      </c>
      <c r="O58" s="4" t="n">
        <v>4</v>
      </c>
    </row>
    <row r="59" customFormat="false" ht="15" hidden="false" customHeight="false" outlineLevel="0" collapsed="false">
      <c r="A59" s="6" t="s">
        <v>176</v>
      </c>
      <c r="B59" s="7" t="n">
        <v>45376</v>
      </c>
      <c r="C59" s="6" t="s">
        <v>165</v>
      </c>
      <c r="D59" s="6" t="s">
        <v>46</v>
      </c>
      <c r="E59" s="6" t="s">
        <v>47</v>
      </c>
      <c r="F59" s="6" t="s">
        <v>48</v>
      </c>
      <c r="G59" s="6" t="s">
        <v>30</v>
      </c>
      <c r="H59" s="6" t="s">
        <v>144</v>
      </c>
      <c r="I59" s="6" t="s">
        <v>114</v>
      </c>
      <c r="J59" s="8" t="n">
        <v>1</v>
      </c>
      <c r="K59" s="9" t="n">
        <v>1100</v>
      </c>
      <c r="L59" s="9" t="n">
        <f aca="false">J59*K59</f>
        <v>1100</v>
      </c>
      <c r="M59" s="6" t="s">
        <v>33</v>
      </c>
      <c r="N59" s="8" t="s">
        <v>24</v>
      </c>
      <c r="O59" s="6"/>
    </row>
    <row r="60" customFormat="false" ht="15" hidden="false" customHeight="false" outlineLevel="0" collapsed="false">
      <c r="A60" s="2" t="s">
        <v>177</v>
      </c>
      <c r="B60" s="3" t="n">
        <v>45528</v>
      </c>
      <c r="C60" s="2" t="s">
        <v>178</v>
      </c>
      <c r="D60" s="2" t="s">
        <v>17</v>
      </c>
      <c r="E60" s="2" t="s">
        <v>18</v>
      </c>
      <c r="F60" s="2" t="s">
        <v>48</v>
      </c>
      <c r="G60" s="2" t="s">
        <v>20</v>
      </c>
      <c r="H60" s="2" t="s">
        <v>65</v>
      </c>
      <c r="I60" s="2" t="s">
        <v>39</v>
      </c>
      <c r="J60" s="4" t="n">
        <v>4</v>
      </c>
      <c r="K60" s="5" t="n">
        <v>3900</v>
      </c>
      <c r="L60" s="5" t="n">
        <f aca="false">J60*K60</f>
        <v>15600</v>
      </c>
      <c r="M60" s="2" t="s">
        <v>23</v>
      </c>
      <c r="N60" s="4" t="s">
        <v>24</v>
      </c>
      <c r="O60" s="4" t="n">
        <v>4</v>
      </c>
    </row>
    <row r="61" customFormat="false" ht="15" hidden="false" customHeight="false" outlineLevel="0" collapsed="false">
      <c r="A61" s="6" t="s">
        <v>179</v>
      </c>
      <c r="B61" s="7" t="n">
        <v>45434</v>
      </c>
      <c r="C61" s="6" t="s">
        <v>180</v>
      </c>
      <c r="D61" s="6" t="s">
        <v>87</v>
      </c>
      <c r="E61" s="6" t="s">
        <v>87</v>
      </c>
      <c r="F61" s="6" t="s">
        <v>48</v>
      </c>
      <c r="G61" s="6" t="s">
        <v>54</v>
      </c>
      <c r="H61" s="6" t="s">
        <v>128</v>
      </c>
      <c r="I61" s="6" t="s">
        <v>129</v>
      </c>
      <c r="J61" s="8" t="n">
        <v>5</v>
      </c>
      <c r="K61" s="9" t="n">
        <v>100</v>
      </c>
      <c r="L61" s="9" t="n">
        <f aca="false">J61*K61</f>
        <v>500</v>
      </c>
      <c r="M61" s="6" t="s">
        <v>23</v>
      </c>
      <c r="N61" s="8" t="s">
        <v>24</v>
      </c>
      <c r="O61" s="8" t="n">
        <v>3</v>
      </c>
    </row>
    <row r="62" customFormat="false" ht="15" hidden="false" customHeight="false" outlineLevel="0" collapsed="false">
      <c r="A62" s="2" t="s">
        <v>181</v>
      </c>
      <c r="B62" s="3" t="n">
        <v>45625</v>
      </c>
      <c r="C62" s="2" t="s">
        <v>182</v>
      </c>
      <c r="D62" s="2" t="s">
        <v>27</v>
      </c>
      <c r="E62" s="2" t="s">
        <v>28</v>
      </c>
      <c r="F62" s="2" t="s">
        <v>19</v>
      </c>
      <c r="G62" s="2" t="s">
        <v>54</v>
      </c>
      <c r="H62" s="2" t="s">
        <v>144</v>
      </c>
      <c r="I62" s="2" t="s">
        <v>114</v>
      </c>
      <c r="J62" s="4" t="n">
        <v>2</v>
      </c>
      <c r="K62" s="5" t="n">
        <v>1600</v>
      </c>
      <c r="L62" s="5" t="n">
        <f aca="false">J62*K62</f>
        <v>3200</v>
      </c>
      <c r="M62" s="2" t="s">
        <v>23</v>
      </c>
      <c r="N62" s="4" t="s">
        <v>24</v>
      </c>
      <c r="O62" s="4" t="n">
        <v>3</v>
      </c>
    </row>
    <row r="63" customFormat="false" ht="15" hidden="false" customHeight="false" outlineLevel="0" collapsed="false">
      <c r="A63" s="6" t="s">
        <v>183</v>
      </c>
      <c r="B63" s="7" t="n">
        <v>45580</v>
      </c>
      <c r="C63" s="6" t="s">
        <v>184</v>
      </c>
      <c r="D63" s="6" t="s">
        <v>17</v>
      </c>
      <c r="E63" s="6" t="s">
        <v>18</v>
      </c>
      <c r="F63" s="6" t="s">
        <v>48</v>
      </c>
      <c r="G63" s="6" t="s">
        <v>20</v>
      </c>
      <c r="H63" s="6" t="s">
        <v>144</v>
      </c>
      <c r="I63" s="6" t="s">
        <v>114</v>
      </c>
      <c r="J63" s="8" t="n">
        <v>5</v>
      </c>
      <c r="K63" s="9" t="n">
        <v>3900</v>
      </c>
      <c r="L63" s="9" t="n">
        <f aca="false">J63*K63</f>
        <v>19500</v>
      </c>
      <c r="M63" s="6" t="s">
        <v>33</v>
      </c>
      <c r="N63" s="8" t="s">
        <v>24</v>
      </c>
      <c r="O63" s="6"/>
    </row>
    <row r="64" customFormat="false" ht="15" hidden="false" customHeight="false" outlineLevel="0" collapsed="false">
      <c r="A64" s="2" t="s">
        <v>185</v>
      </c>
      <c r="B64" s="3" t="n">
        <v>45375</v>
      </c>
      <c r="C64" s="2" t="s">
        <v>186</v>
      </c>
      <c r="D64" s="2" t="s">
        <v>46</v>
      </c>
      <c r="E64" s="2" t="s">
        <v>47</v>
      </c>
      <c r="F64" s="2" t="s">
        <v>48</v>
      </c>
      <c r="G64" s="2" t="s">
        <v>30</v>
      </c>
      <c r="H64" s="2" t="s">
        <v>55</v>
      </c>
      <c r="I64" s="2" t="s">
        <v>56</v>
      </c>
      <c r="J64" s="4" t="n">
        <v>4</v>
      </c>
      <c r="K64" s="5" t="n">
        <v>2000</v>
      </c>
      <c r="L64" s="5" t="n">
        <f aca="false">J64*K64</f>
        <v>8000</v>
      </c>
      <c r="M64" s="2" t="s">
        <v>33</v>
      </c>
      <c r="N64" s="4" t="s">
        <v>24</v>
      </c>
      <c r="O64" s="2"/>
    </row>
    <row r="65" customFormat="false" ht="15" hidden="false" customHeight="false" outlineLevel="0" collapsed="false">
      <c r="A65" s="6" t="s">
        <v>187</v>
      </c>
      <c r="B65" s="7" t="n">
        <v>45595</v>
      </c>
      <c r="C65" s="6" t="s">
        <v>97</v>
      </c>
      <c r="D65" s="6" t="s">
        <v>17</v>
      </c>
      <c r="E65" s="6" t="s">
        <v>18</v>
      </c>
      <c r="F65" s="6" t="s">
        <v>29</v>
      </c>
      <c r="G65" s="6" t="s">
        <v>54</v>
      </c>
      <c r="H65" s="6" t="s">
        <v>38</v>
      </c>
      <c r="I65" s="6" t="s">
        <v>39</v>
      </c>
      <c r="J65" s="8" t="n">
        <v>5</v>
      </c>
      <c r="K65" s="9" t="n">
        <v>8900</v>
      </c>
      <c r="L65" s="9" t="n">
        <f aca="false">J65*K65</f>
        <v>44500</v>
      </c>
      <c r="M65" s="6" t="s">
        <v>23</v>
      </c>
      <c r="N65" s="8" t="s">
        <v>24</v>
      </c>
      <c r="O65" s="8" t="n">
        <v>4</v>
      </c>
    </row>
    <row r="66" customFormat="false" ht="15" hidden="false" customHeight="false" outlineLevel="0" collapsed="false">
      <c r="A66" s="2" t="s">
        <v>188</v>
      </c>
      <c r="B66" s="3" t="n">
        <v>45630</v>
      </c>
      <c r="C66" s="2" t="s">
        <v>189</v>
      </c>
      <c r="D66" s="2" t="s">
        <v>59</v>
      </c>
      <c r="E66" s="2" t="s">
        <v>47</v>
      </c>
      <c r="F66" s="2" t="s">
        <v>19</v>
      </c>
      <c r="G66" s="2" t="s">
        <v>30</v>
      </c>
      <c r="H66" s="2" t="s">
        <v>69</v>
      </c>
      <c r="I66" s="2" t="s">
        <v>50</v>
      </c>
      <c r="J66" s="4" t="n">
        <v>4</v>
      </c>
      <c r="K66" s="5" t="n">
        <v>2200</v>
      </c>
      <c r="L66" s="5" t="n">
        <f aca="false">J66*K66</f>
        <v>8800</v>
      </c>
      <c r="M66" s="2" t="s">
        <v>66</v>
      </c>
      <c r="N66" s="4" t="s">
        <v>24</v>
      </c>
      <c r="O66" s="2"/>
    </row>
    <row r="67" customFormat="false" ht="15" hidden="false" customHeight="false" outlineLevel="0" collapsed="false">
      <c r="A67" s="6" t="s">
        <v>190</v>
      </c>
      <c r="B67" s="7" t="n">
        <v>45617</v>
      </c>
      <c r="C67" s="6" t="s">
        <v>165</v>
      </c>
      <c r="D67" s="6" t="s">
        <v>76</v>
      </c>
      <c r="E67" s="6" t="s">
        <v>77</v>
      </c>
      <c r="F67" s="6" t="s">
        <v>19</v>
      </c>
      <c r="G67" s="6" t="s">
        <v>30</v>
      </c>
      <c r="H67" s="6" t="s">
        <v>88</v>
      </c>
      <c r="I67" s="6" t="s">
        <v>89</v>
      </c>
      <c r="J67" s="8" t="n">
        <v>3</v>
      </c>
      <c r="K67" s="9" t="n">
        <v>1400</v>
      </c>
      <c r="L67" s="9" t="n">
        <f aca="false">J67*K67</f>
        <v>4200</v>
      </c>
      <c r="M67" s="6" t="s">
        <v>40</v>
      </c>
      <c r="N67" s="8" t="s">
        <v>41</v>
      </c>
      <c r="O67" s="6"/>
    </row>
    <row r="68" customFormat="false" ht="15" hidden="false" customHeight="false" outlineLevel="0" collapsed="false">
      <c r="A68" s="2" t="s">
        <v>191</v>
      </c>
      <c r="B68" s="3" t="n">
        <v>45567</v>
      </c>
      <c r="C68" s="2" t="s">
        <v>192</v>
      </c>
      <c r="D68" s="2" t="s">
        <v>76</v>
      </c>
      <c r="E68" s="2" t="s">
        <v>77</v>
      </c>
      <c r="F68" s="2" t="s">
        <v>29</v>
      </c>
      <c r="G68" s="2" t="s">
        <v>20</v>
      </c>
      <c r="H68" s="2" t="s">
        <v>60</v>
      </c>
      <c r="I68" s="2" t="s">
        <v>32</v>
      </c>
      <c r="J68" s="4" t="n">
        <v>2</v>
      </c>
      <c r="K68" s="5" t="n">
        <v>6000</v>
      </c>
      <c r="L68" s="5" t="n">
        <f aca="false">J68*K68</f>
        <v>12000</v>
      </c>
      <c r="M68" s="2" t="s">
        <v>23</v>
      </c>
      <c r="N68" s="4" t="s">
        <v>24</v>
      </c>
      <c r="O68" s="4" t="n">
        <v>3</v>
      </c>
    </row>
    <row r="69" customFormat="false" ht="15" hidden="false" customHeight="false" outlineLevel="0" collapsed="false">
      <c r="A69" s="6" t="s">
        <v>193</v>
      </c>
      <c r="B69" s="7" t="n">
        <v>45529</v>
      </c>
      <c r="C69" s="6" t="s">
        <v>194</v>
      </c>
      <c r="D69" s="6" t="s">
        <v>76</v>
      </c>
      <c r="E69" s="6" t="s">
        <v>77</v>
      </c>
      <c r="F69" s="6" t="s">
        <v>48</v>
      </c>
      <c r="G69" s="6" t="s">
        <v>54</v>
      </c>
      <c r="H69" s="6" t="s">
        <v>84</v>
      </c>
      <c r="I69" s="6" t="s">
        <v>32</v>
      </c>
      <c r="J69" s="8" t="n">
        <v>3</v>
      </c>
      <c r="K69" s="9" t="n">
        <v>1900</v>
      </c>
      <c r="L69" s="9" t="n">
        <f aca="false">J69*K69</f>
        <v>5700</v>
      </c>
      <c r="M69" s="6" t="s">
        <v>66</v>
      </c>
      <c r="N69" s="8" t="s">
        <v>24</v>
      </c>
      <c r="O69" s="6"/>
    </row>
    <row r="70" customFormat="false" ht="15" hidden="false" customHeight="false" outlineLevel="0" collapsed="false">
      <c r="A70" s="2" t="s">
        <v>195</v>
      </c>
      <c r="B70" s="3" t="n">
        <v>45424</v>
      </c>
      <c r="C70" s="2" t="s">
        <v>142</v>
      </c>
      <c r="D70" s="2" t="s">
        <v>17</v>
      </c>
      <c r="E70" s="2" t="s">
        <v>18</v>
      </c>
      <c r="F70" s="2" t="s">
        <v>29</v>
      </c>
      <c r="G70" s="2" t="s">
        <v>54</v>
      </c>
      <c r="H70" s="2" t="s">
        <v>88</v>
      </c>
      <c r="I70" s="2" t="s">
        <v>89</v>
      </c>
      <c r="J70" s="4" t="n">
        <v>2</v>
      </c>
      <c r="K70" s="5" t="n">
        <v>600</v>
      </c>
      <c r="L70" s="5" t="n">
        <f aca="false">J70*K70</f>
        <v>1200</v>
      </c>
      <c r="M70" s="2" t="s">
        <v>23</v>
      </c>
      <c r="N70" s="4" t="s">
        <v>24</v>
      </c>
      <c r="O70" s="4" t="n">
        <v>4</v>
      </c>
    </row>
    <row r="71" customFormat="false" ht="15" hidden="false" customHeight="false" outlineLevel="0" collapsed="false">
      <c r="A71" s="6" t="s">
        <v>196</v>
      </c>
      <c r="B71" s="7" t="n">
        <v>45576</v>
      </c>
      <c r="C71" s="6" t="s">
        <v>175</v>
      </c>
      <c r="D71" s="6" t="s">
        <v>36</v>
      </c>
      <c r="E71" s="6" t="s">
        <v>37</v>
      </c>
      <c r="F71" s="6" t="s">
        <v>48</v>
      </c>
      <c r="G71" s="6" t="s">
        <v>54</v>
      </c>
      <c r="H71" s="6" t="s">
        <v>49</v>
      </c>
      <c r="I71" s="6" t="s">
        <v>50</v>
      </c>
      <c r="J71" s="8" t="n">
        <v>3</v>
      </c>
      <c r="K71" s="9" t="n">
        <v>2100</v>
      </c>
      <c r="L71" s="9" t="n">
        <f aca="false">J71*K71</f>
        <v>6300</v>
      </c>
      <c r="M71" s="6" t="s">
        <v>66</v>
      </c>
      <c r="N71" s="8" t="s">
        <v>24</v>
      </c>
      <c r="O71" s="6"/>
    </row>
    <row r="72" customFormat="false" ht="15" hidden="false" customHeight="false" outlineLevel="0" collapsed="false">
      <c r="A72" s="2" t="s">
        <v>197</v>
      </c>
      <c r="B72" s="3" t="n">
        <v>45448</v>
      </c>
      <c r="C72" s="2" t="s">
        <v>71</v>
      </c>
      <c r="D72" s="2" t="s">
        <v>36</v>
      </c>
      <c r="E72" s="2" t="s">
        <v>37</v>
      </c>
      <c r="F72" s="2" t="s">
        <v>29</v>
      </c>
      <c r="G72" s="2" t="s">
        <v>30</v>
      </c>
      <c r="H72" s="2" t="s">
        <v>60</v>
      </c>
      <c r="I72" s="2" t="s">
        <v>32</v>
      </c>
      <c r="J72" s="4" t="n">
        <v>4</v>
      </c>
      <c r="K72" s="5" t="n">
        <v>11900</v>
      </c>
      <c r="L72" s="5" t="n">
        <f aca="false">J72*K72</f>
        <v>47600</v>
      </c>
      <c r="M72" s="2" t="s">
        <v>23</v>
      </c>
      <c r="N72" s="4" t="s">
        <v>24</v>
      </c>
      <c r="O72" s="4" t="n">
        <v>4</v>
      </c>
    </row>
    <row r="73" customFormat="false" ht="15" hidden="false" customHeight="false" outlineLevel="0" collapsed="false">
      <c r="A73" s="6" t="s">
        <v>198</v>
      </c>
      <c r="B73" s="7" t="n">
        <v>45430</v>
      </c>
      <c r="C73" s="6" t="s">
        <v>199</v>
      </c>
      <c r="D73" s="6" t="s">
        <v>27</v>
      </c>
      <c r="E73" s="6" t="s">
        <v>28</v>
      </c>
      <c r="F73" s="6" t="s">
        <v>19</v>
      </c>
      <c r="G73" s="6" t="s">
        <v>30</v>
      </c>
      <c r="H73" s="6" t="s">
        <v>65</v>
      </c>
      <c r="I73" s="6" t="s">
        <v>39</v>
      </c>
      <c r="J73" s="8" t="n">
        <v>3</v>
      </c>
      <c r="K73" s="9" t="n">
        <v>2600</v>
      </c>
      <c r="L73" s="9" t="n">
        <f aca="false">J73*K73</f>
        <v>7800</v>
      </c>
      <c r="M73" s="6" t="s">
        <v>33</v>
      </c>
      <c r="N73" s="8" t="s">
        <v>24</v>
      </c>
      <c r="O73" s="6"/>
    </row>
    <row r="74" customFormat="false" ht="15" hidden="false" customHeight="false" outlineLevel="0" collapsed="false">
      <c r="A74" s="2" t="s">
        <v>200</v>
      </c>
      <c r="B74" s="3" t="n">
        <v>45645</v>
      </c>
      <c r="C74" s="2" t="s">
        <v>201</v>
      </c>
      <c r="D74" s="2" t="s">
        <v>27</v>
      </c>
      <c r="E74" s="2" t="s">
        <v>28</v>
      </c>
      <c r="F74" s="2" t="s">
        <v>48</v>
      </c>
      <c r="G74" s="2" t="s">
        <v>20</v>
      </c>
      <c r="H74" s="2" t="s">
        <v>128</v>
      </c>
      <c r="I74" s="2" t="s">
        <v>129</v>
      </c>
      <c r="J74" s="4" t="n">
        <v>5</v>
      </c>
      <c r="K74" s="5" t="n">
        <v>500</v>
      </c>
      <c r="L74" s="5" t="n">
        <f aca="false">J74*K74</f>
        <v>2500</v>
      </c>
      <c r="M74" s="2" t="s">
        <v>51</v>
      </c>
      <c r="N74" s="4" t="s">
        <v>24</v>
      </c>
      <c r="O74" s="2"/>
    </row>
    <row r="75" customFormat="false" ht="15" hidden="false" customHeight="false" outlineLevel="0" collapsed="false">
      <c r="A75" s="6" t="s">
        <v>202</v>
      </c>
      <c r="B75" s="7" t="n">
        <v>45343</v>
      </c>
      <c r="C75" s="6" t="s">
        <v>203</v>
      </c>
      <c r="D75" s="6" t="s">
        <v>27</v>
      </c>
      <c r="E75" s="6" t="s">
        <v>28</v>
      </c>
      <c r="F75" s="6" t="s">
        <v>48</v>
      </c>
      <c r="G75" s="6" t="s">
        <v>20</v>
      </c>
      <c r="H75" s="6" t="s">
        <v>113</v>
      </c>
      <c r="I75" s="6" t="s">
        <v>114</v>
      </c>
      <c r="J75" s="8" t="n">
        <v>1</v>
      </c>
      <c r="K75" s="9" t="n">
        <v>2400</v>
      </c>
      <c r="L75" s="9" t="n">
        <f aca="false">J75*K75</f>
        <v>2400</v>
      </c>
      <c r="M75" s="6" t="s">
        <v>23</v>
      </c>
      <c r="N75" s="8" t="s">
        <v>24</v>
      </c>
      <c r="O75" s="8" t="n">
        <v>3</v>
      </c>
    </row>
    <row r="76" customFormat="false" ht="15" hidden="false" customHeight="false" outlineLevel="0" collapsed="false">
      <c r="A76" s="2" t="s">
        <v>204</v>
      </c>
      <c r="B76" s="3" t="n">
        <v>45575</v>
      </c>
      <c r="C76" s="2" t="s">
        <v>205</v>
      </c>
      <c r="D76" s="2" t="s">
        <v>36</v>
      </c>
      <c r="E76" s="2" t="s">
        <v>37</v>
      </c>
      <c r="F76" s="2" t="s">
        <v>19</v>
      </c>
      <c r="G76" s="2" t="s">
        <v>54</v>
      </c>
      <c r="H76" s="2" t="s">
        <v>144</v>
      </c>
      <c r="I76" s="2" t="s">
        <v>114</v>
      </c>
      <c r="J76" s="4" t="n">
        <v>3</v>
      </c>
      <c r="K76" s="5" t="n">
        <v>2400</v>
      </c>
      <c r="L76" s="5" t="n">
        <f aca="false">J76*K76</f>
        <v>7200</v>
      </c>
      <c r="M76" s="2" t="s">
        <v>66</v>
      </c>
      <c r="N76" s="4" t="s">
        <v>24</v>
      </c>
      <c r="O76" s="2"/>
    </row>
    <row r="77" customFormat="false" ht="15" hidden="false" customHeight="false" outlineLevel="0" collapsed="false">
      <c r="A77" s="6" t="s">
        <v>206</v>
      </c>
      <c r="B77" s="7" t="n">
        <v>45386</v>
      </c>
      <c r="C77" s="6" t="s">
        <v>207</v>
      </c>
      <c r="D77" s="6" t="s">
        <v>36</v>
      </c>
      <c r="E77" s="6" t="s">
        <v>37</v>
      </c>
      <c r="F77" s="6" t="s">
        <v>19</v>
      </c>
      <c r="G77" s="6" t="s">
        <v>54</v>
      </c>
      <c r="H77" s="6" t="s">
        <v>110</v>
      </c>
      <c r="I77" s="6" t="s">
        <v>22</v>
      </c>
      <c r="J77" s="8" t="n">
        <v>4</v>
      </c>
      <c r="K77" s="9" t="n">
        <v>200</v>
      </c>
      <c r="L77" s="9" t="n">
        <f aca="false">J77*K77</f>
        <v>800</v>
      </c>
      <c r="M77" s="6" t="s">
        <v>51</v>
      </c>
      <c r="N77" s="8" t="s">
        <v>24</v>
      </c>
      <c r="O77" s="6"/>
    </row>
    <row r="78" customFormat="false" ht="15" hidden="false" customHeight="false" outlineLevel="0" collapsed="false">
      <c r="A78" s="2" t="s">
        <v>208</v>
      </c>
      <c r="B78" s="3" t="n">
        <v>45319</v>
      </c>
      <c r="C78" s="2" t="s">
        <v>169</v>
      </c>
      <c r="D78" s="2" t="s">
        <v>17</v>
      </c>
      <c r="E78" s="2" t="s">
        <v>18</v>
      </c>
      <c r="F78" s="2" t="s">
        <v>19</v>
      </c>
      <c r="G78" s="2" t="s">
        <v>20</v>
      </c>
      <c r="H78" s="2" t="s">
        <v>49</v>
      </c>
      <c r="I78" s="2" t="s">
        <v>50</v>
      </c>
      <c r="J78" s="4" t="n">
        <v>5</v>
      </c>
      <c r="K78" s="5" t="n">
        <v>2700</v>
      </c>
      <c r="L78" s="5" t="n">
        <f aca="false">J78*K78</f>
        <v>13500</v>
      </c>
      <c r="M78" s="2" t="s">
        <v>51</v>
      </c>
      <c r="N78" s="4" t="s">
        <v>24</v>
      </c>
      <c r="O78" s="2"/>
    </row>
    <row r="79" customFormat="false" ht="15" hidden="false" customHeight="false" outlineLevel="0" collapsed="false">
      <c r="A79" s="6" t="s">
        <v>209</v>
      </c>
      <c r="B79" s="7" t="n">
        <v>45608</v>
      </c>
      <c r="C79" s="6" t="s">
        <v>210</v>
      </c>
      <c r="D79" s="6" t="s">
        <v>76</v>
      </c>
      <c r="E79" s="6" t="s">
        <v>77</v>
      </c>
      <c r="F79" s="6" t="s">
        <v>48</v>
      </c>
      <c r="G79" s="6" t="s">
        <v>30</v>
      </c>
      <c r="H79" s="6" t="s">
        <v>113</v>
      </c>
      <c r="I79" s="6" t="s">
        <v>114</v>
      </c>
      <c r="J79" s="8" t="n">
        <v>5</v>
      </c>
      <c r="K79" s="9" t="n">
        <v>2000</v>
      </c>
      <c r="L79" s="9" t="n">
        <f aca="false">J79*K79</f>
        <v>10000</v>
      </c>
      <c r="M79" s="6" t="s">
        <v>23</v>
      </c>
      <c r="N79" s="8" t="s">
        <v>24</v>
      </c>
      <c r="O79" s="8" t="n">
        <v>3</v>
      </c>
    </row>
    <row r="80" customFormat="false" ht="15" hidden="false" customHeight="false" outlineLevel="0" collapsed="false">
      <c r="A80" s="2" t="s">
        <v>211</v>
      </c>
      <c r="B80" s="3" t="n">
        <v>45604</v>
      </c>
      <c r="C80" s="2" t="s">
        <v>212</v>
      </c>
      <c r="D80" s="2" t="s">
        <v>27</v>
      </c>
      <c r="E80" s="2" t="s">
        <v>28</v>
      </c>
      <c r="F80" s="2" t="s">
        <v>48</v>
      </c>
      <c r="G80" s="2" t="s">
        <v>30</v>
      </c>
      <c r="H80" s="2" t="s">
        <v>49</v>
      </c>
      <c r="I80" s="2" t="s">
        <v>50</v>
      </c>
      <c r="J80" s="4" t="n">
        <v>2</v>
      </c>
      <c r="K80" s="5" t="n">
        <v>2100</v>
      </c>
      <c r="L80" s="5" t="n">
        <f aca="false">J80*K80</f>
        <v>4200</v>
      </c>
      <c r="M80" s="2" t="s">
        <v>23</v>
      </c>
      <c r="N80" s="4" t="s">
        <v>24</v>
      </c>
      <c r="O80" s="4" t="n">
        <v>3</v>
      </c>
    </row>
    <row r="81" customFormat="false" ht="15" hidden="false" customHeight="false" outlineLevel="0" collapsed="false">
      <c r="A81" s="6" t="s">
        <v>213</v>
      </c>
      <c r="B81" s="7" t="n">
        <v>45293</v>
      </c>
      <c r="C81" s="6" t="s">
        <v>214</v>
      </c>
      <c r="D81" s="6" t="s">
        <v>36</v>
      </c>
      <c r="E81" s="6" t="s">
        <v>37</v>
      </c>
      <c r="F81" s="6" t="s">
        <v>48</v>
      </c>
      <c r="G81" s="6" t="s">
        <v>54</v>
      </c>
      <c r="H81" s="6" t="s">
        <v>65</v>
      </c>
      <c r="I81" s="6" t="s">
        <v>39</v>
      </c>
      <c r="J81" s="8" t="n">
        <v>3</v>
      </c>
      <c r="K81" s="9" t="n">
        <v>3700</v>
      </c>
      <c r="L81" s="9" t="n">
        <f aca="false">J81*K81</f>
        <v>11100</v>
      </c>
      <c r="M81" s="6" t="s">
        <v>33</v>
      </c>
      <c r="N81" s="8" t="s">
        <v>24</v>
      </c>
      <c r="O81" s="6"/>
    </row>
    <row r="82" customFormat="false" ht="15" hidden="false" customHeight="false" outlineLevel="0" collapsed="false">
      <c r="A82" s="2" t="s">
        <v>215</v>
      </c>
      <c r="B82" s="3" t="n">
        <v>45328</v>
      </c>
      <c r="C82" s="2" t="s">
        <v>167</v>
      </c>
      <c r="D82" s="2" t="s">
        <v>27</v>
      </c>
      <c r="E82" s="2" t="s">
        <v>28</v>
      </c>
      <c r="F82" s="2" t="s">
        <v>48</v>
      </c>
      <c r="G82" s="2" t="s">
        <v>54</v>
      </c>
      <c r="H82" s="2" t="s">
        <v>88</v>
      </c>
      <c r="I82" s="2" t="s">
        <v>89</v>
      </c>
      <c r="J82" s="4" t="n">
        <v>2</v>
      </c>
      <c r="K82" s="5" t="n">
        <v>1500</v>
      </c>
      <c r="L82" s="5" t="n">
        <f aca="false">J82*K82</f>
        <v>3000</v>
      </c>
      <c r="M82" s="2" t="s">
        <v>23</v>
      </c>
      <c r="N82" s="4" t="s">
        <v>24</v>
      </c>
      <c r="O82" s="4" t="n">
        <v>3</v>
      </c>
    </row>
    <row r="83" customFormat="false" ht="15" hidden="false" customHeight="false" outlineLevel="0" collapsed="false">
      <c r="A83" s="6" t="s">
        <v>216</v>
      </c>
      <c r="B83" s="7" t="n">
        <v>45328</v>
      </c>
      <c r="C83" s="6" t="s">
        <v>217</v>
      </c>
      <c r="D83" s="6" t="s">
        <v>17</v>
      </c>
      <c r="E83" s="6" t="s">
        <v>18</v>
      </c>
      <c r="F83" s="6" t="s">
        <v>29</v>
      </c>
      <c r="G83" s="6" t="s">
        <v>30</v>
      </c>
      <c r="H83" s="6" t="s">
        <v>69</v>
      </c>
      <c r="I83" s="6" t="s">
        <v>50</v>
      </c>
      <c r="J83" s="8" t="n">
        <v>5</v>
      </c>
      <c r="K83" s="9" t="n">
        <v>4800</v>
      </c>
      <c r="L83" s="9" t="n">
        <f aca="false">J83*K83</f>
        <v>24000</v>
      </c>
      <c r="M83" s="6" t="s">
        <v>23</v>
      </c>
      <c r="N83" s="8" t="s">
        <v>24</v>
      </c>
      <c r="O83" s="8" t="n">
        <v>4</v>
      </c>
    </row>
    <row r="84" customFormat="false" ht="15" hidden="false" customHeight="false" outlineLevel="0" collapsed="false">
      <c r="A84" s="2" t="s">
        <v>218</v>
      </c>
      <c r="B84" s="3" t="n">
        <v>45644</v>
      </c>
      <c r="C84" s="2" t="s">
        <v>112</v>
      </c>
      <c r="D84" s="2" t="s">
        <v>17</v>
      </c>
      <c r="E84" s="2" t="s">
        <v>18</v>
      </c>
      <c r="F84" s="2" t="s">
        <v>29</v>
      </c>
      <c r="G84" s="2" t="s">
        <v>30</v>
      </c>
      <c r="H84" s="2" t="s">
        <v>84</v>
      </c>
      <c r="I84" s="2" t="s">
        <v>32</v>
      </c>
      <c r="J84" s="4" t="n">
        <v>4</v>
      </c>
      <c r="K84" s="5" t="n">
        <v>1600</v>
      </c>
      <c r="L84" s="5" t="n">
        <f aca="false">J84*K84</f>
        <v>6400</v>
      </c>
      <c r="M84" s="2" t="s">
        <v>51</v>
      </c>
      <c r="N84" s="4" t="s">
        <v>41</v>
      </c>
      <c r="O84" s="2"/>
    </row>
    <row r="85" customFormat="false" ht="15" hidden="false" customHeight="false" outlineLevel="0" collapsed="false">
      <c r="A85" s="6" t="s">
        <v>219</v>
      </c>
      <c r="B85" s="7" t="n">
        <v>45513</v>
      </c>
      <c r="C85" s="6" t="s">
        <v>220</v>
      </c>
      <c r="D85" s="6" t="s">
        <v>17</v>
      </c>
      <c r="E85" s="6" t="s">
        <v>18</v>
      </c>
      <c r="F85" s="6" t="s">
        <v>19</v>
      </c>
      <c r="G85" s="6" t="s">
        <v>54</v>
      </c>
      <c r="H85" s="6" t="s">
        <v>65</v>
      </c>
      <c r="I85" s="6" t="s">
        <v>39</v>
      </c>
      <c r="J85" s="8" t="n">
        <v>5</v>
      </c>
      <c r="K85" s="9" t="n">
        <v>5600</v>
      </c>
      <c r="L85" s="9" t="n">
        <f aca="false">J85*K85</f>
        <v>28000</v>
      </c>
      <c r="M85" s="6" t="s">
        <v>23</v>
      </c>
      <c r="N85" s="8" t="s">
        <v>24</v>
      </c>
      <c r="O85" s="8" t="n">
        <v>5</v>
      </c>
    </row>
    <row r="86" customFormat="false" ht="15" hidden="false" customHeight="false" outlineLevel="0" collapsed="false">
      <c r="A86" s="2" t="s">
        <v>221</v>
      </c>
      <c r="B86" s="3" t="n">
        <v>45429</v>
      </c>
      <c r="C86" s="2" t="s">
        <v>222</v>
      </c>
      <c r="D86" s="2" t="s">
        <v>63</v>
      </c>
      <c r="E86" s="2" t="s">
        <v>64</v>
      </c>
      <c r="F86" s="2" t="s">
        <v>48</v>
      </c>
      <c r="G86" s="2" t="s">
        <v>30</v>
      </c>
      <c r="H86" s="2" t="s">
        <v>55</v>
      </c>
      <c r="I86" s="2" t="s">
        <v>56</v>
      </c>
      <c r="J86" s="4" t="n">
        <v>4</v>
      </c>
      <c r="K86" s="5" t="n">
        <v>1600</v>
      </c>
      <c r="L86" s="5" t="n">
        <f aca="false">J86*K86</f>
        <v>6400</v>
      </c>
      <c r="M86" s="2" t="s">
        <v>23</v>
      </c>
      <c r="N86" s="4" t="s">
        <v>24</v>
      </c>
      <c r="O86" s="4" t="n">
        <v>4</v>
      </c>
    </row>
    <row r="87" customFormat="false" ht="15" hidden="false" customHeight="false" outlineLevel="0" collapsed="false">
      <c r="A87" s="6" t="s">
        <v>223</v>
      </c>
      <c r="B87" s="7" t="n">
        <v>45617</v>
      </c>
      <c r="C87" s="6" t="s">
        <v>224</v>
      </c>
      <c r="D87" s="6" t="s">
        <v>36</v>
      </c>
      <c r="E87" s="6" t="s">
        <v>37</v>
      </c>
      <c r="F87" s="6" t="s">
        <v>48</v>
      </c>
      <c r="G87" s="6" t="s">
        <v>30</v>
      </c>
      <c r="H87" s="6" t="s">
        <v>60</v>
      </c>
      <c r="I87" s="6" t="s">
        <v>32</v>
      </c>
      <c r="J87" s="8" t="n">
        <v>3</v>
      </c>
      <c r="K87" s="9" t="n">
        <v>6200</v>
      </c>
      <c r="L87" s="9" t="n">
        <f aca="false">J87*K87</f>
        <v>18600</v>
      </c>
      <c r="M87" s="6" t="s">
        <v>40</v>
      </c>
      <c r="N87" s="8" t="s">
        <v>41</v>
      </c>
      <c r="O87" s="6"/>
    </row>
    <row r="88" customFormat="false" ht="15" hidden="false" customHeight="false" outlineLevel="0" collapsed="false">
      <c r="A88" s="2" t="s">
        <v>225</v>
      </c>
      <c r="B88" s="3" t="n">
        <v>45374</v>
      </c>
      <c r="C88" s="2" t="s">
        <v>226</v>
      </c>
      <c r="D88" s="2" t="s">
        <v>36</v>
      </c>
      <c r="E88" s="2" t="s">
        <v>37</v>
      </c>
      <c r="F88" s="2" t="s">
        <v>48</v>
      </c>
      <c r="G88" s="2" t="s">
        <v>30</v>
      </c>
      <c r="H88" s="2" t="s">
        <v>110</v>
      </c>
      <c r="I88" s="2" t="s">
        <v>22</v>
      </c>
      <c r="J88" s="4" t="n">
        <v>5</v>
      </c>
      <c r="K88" s="5" t="n">
        <v>200</v>
      </c>
      <c r="L88" s="5" t="n">
        <f aca="false">J88*K88</f>
        <v>1000</v>
      </c>
      <c r="M88" s="2" t="s">
        <v>66</v>
      </c>
      <c r="N88" s="4" t="s">
        <v>24</v>
      </c>
      <c r="O88" s="2"/>
    </row>
    <row r="89" customFormat="false" ht="15" hidden="false" customHeight="false" outlineLevel="0" collapsed="false">
      <c r="A89" s="6" t="s">
        <v>227</v>
      </c>
      <c r="B89" s="7" t="n">
        <v>45421</v>
      </c>
      <c r="C89" s="6" t="s">
        <v>83</v>
      </c>
      <c r="D89" s="6" t="s">
        <v>76</v>
      </c>
      <c r="E89" s="6" t="s">
        <v>77</v>
      </c>
      <c r="F89" s="6" t="s">
        <v>29</v>
      </c>
      <c r="G89" s="6" t="s">
        <v>54</v>
      </c>
      <c r="H89" s="6" t="s">
        <v>55</v>
      </c>
      <c r="I89" s="6" t="s">
        <v>56</v>
      </c>
      <c r="J89" s="8" t="n">
        <v>5</v>
      </c>
      <c r="K89" s="9" t="n">
        <v>2200</v>
      </c>
      <c r="L89" s="9" t="n">
        <f aca="false">J89*K89</f>
        <v>11000</v>
      </c>
      <c r="M89" s="6" t="s">
        <v>66</v>
      </c>
      <c r="N89" s="8" t="s">
        <v>24</v>
      </c>
      <c r="O89" s="6"/>
    </row>
    <row r="90" customFormat="false" ht="15" hidden="false" customHeight="false" outlineLevel="0" collapsed="false">
      <c r="A90" s="2" t="s">
        <v>228</v>
      </c>
      <c r="B90" s="3" t="n">
        <v>45557</v>
      </c>
      <c r="C90" s="2" t="s">
        <v>229</v>
      </c>
      <c r="D90" s="2" t="s">
        <v>36</v>
      </c>
      <c r="E90" s="2" t="s">
        <v>37</v>
      </c>
      <c r="F90" s="2" t="s">
        <v>48</v>
      </c>
      <c r="G90" s="2" t="s">
        <v>54</v>
      </c>
      <c r="H90" s="2" t="s">
        <v>65</v>
      </c>
      <c r="I90" s="2" t="s">
        <v>39</v>
      </c>
      <c r="J90" s="4" t="n">
        <v>3</v>
      </c>
      <c r="K90" s="5" t="n">
        <v>5400</v>
      </c>
      <c r="L90" s="5" t="n">
        <f aca="false">J90*K90</f>
        <v>16200</v>
      </c>
      <c r="M90" s="2" t="s">
        <v>23</v>
      </c>
      <c r="N90" s="4" t="s">
        <v>24</v>
      </c>
      <c r="O90" s="4" t="n">
        <v>4</v>
      </c>
    </row>
    <row r="91" customFormat="false" ht="15" hidden="false" customHeight="false" outlineLevel="0" collapsed="false">
      <c r="A91" s="6" t="s">
        <v>230</v>
      </c>
      <c r="B91" s="7" t="n">
        <v>45649</v>
      </c>
      <c r="C91" s="6" t="s">
        <v>224</v>
      </c>
      <c r="D91" s="6" t="s">
        <v>46</v>
      </c>
      <c r="E91" s="6" t="s">
        <v>47</v>
      </c>
      <c r="F91" s="6" t="s">
        <v>29</v>
      </c>
      <c r="G91" s="6" t="s">
        <v>20</v>
      </c>
      <c r="H91" s="6" t="s">
        <v>128</v>
      </c>
      <c r="I91" s="6" t="s">
        <v>129</v>
      </c>
      <c r="J91" s="8" t="n">
        <v>2</v>
      </c>
      <c r="K91" s="9" t="n">
        <v>300</v>
      </c>
      <c r="L91" s="9" t="n">
        <f aca="false">J91*K91</f>
        <v>600</v>
      </c>
      <c r="M91" s="6" t="s">
        <v>51</v>
      </c>
      <c r="N91" s="8" t="s">
        <v>41</v>
      </c>
      <c r="O91" s="6"/>
    </row>
    <row r="92" customFormat="false" ht="15" hidden="false" customHeight="false" outlineLevel="0" collapsed="false">
      <c r="A92" s="2" t="s">
        <v>231</v>
      </c>
      <c r="B92" s="3" t="n">
        <v>45500</v>
      </c>
      <c r="C92" s="2" t="s">
        <v>26</v>
      </c>
      <c r="D92" s="2" t="s">
        <v>87</v>
      </c>
      <c r="E92" s="2" t="s">
        <v>87</v>
      </c>
      <c r="F92" s="2" t="s">
        <v>48</v>
      </c>
      <c r="G92" s="2" t="s">
        <v>54</v>
      </c>
      <c r="H92" s="2" t="s">
        <v>55</v>
      </c>
      <c r="I92" s="2" t="s">
        <v>56</v>
      </c>
      <c r="J92" s="4" t="n">
        <v>2</v>
      </c>
      <c r="K92" s="5" t="n">
        <v>2300</v>
      </c>
      <c r="L92" s="5" t="n">
        <f aca="false">J92*K92</f>
        <v>4600</v>
      </c>
      <c r="M92" s="2" t="s">
        <v>33</v>
      </c>
      <c r="N92" s="4" t="s">
        <v>24</v>
      </c>
      <c r="O92" s="2"/>
    </row>
    <row r="93" customFormat="false" ht="15" hidden="false" customHeight="false" outlineLevel="0" collapsed="false">
      <c r="A93" s="6" t="s">
        <v>232</v>
      </c>
      <c r="B93" s="7" t="n">
        <v>45653</v>
      </c>
      <c r="C93" s="6" t="s">
        <v>233</v>
      </c>
      <c r="D93" s="6" t="s">
        <v>36</v>
      </c>
      <c r="E93" s="6" t="s">
        <v>37</v>
      </c>
      <c r="F93" s="6" t="s">
        <v>48</v>
      </c>
      <c r="G93" s="6" t="s">
        <v>20</v>
      </c>
      <c r="H93" s="6" t="s">
        <v>84</v>
      </c>
      <c r="I93" s="6" t="s">
        <v>32</v>
      </c>
      <c r="J93" s="8" t="n">
        <v>5</v>
      </c>
      <c r="K93" s="9" t="n">
        <v>1800</v>
      </c>
      <c r="L93" s="9" t="n">
        <f aca="false">J93*K93</f>
        <v>9000</v>
      </c>
      <c r="M93" s="6" t="s">
        <v>66</v>
      </c>
      <c r="N93" s="8" t="s">
        <v>24</v>
      </c>
      <c r="O93" s="6"/>
    </row>
    <row r="94" customFormat="false" ht="15" hidden="false" customHeight="false" outlineLevel="0" collapsed="false">
      <c r="A94" s="2" t="s">
        <v>234</v>
      </c>
      <c r="B94" s="3" t="n">
        <v>45598</v>
      </c>
      <c r="C94" s="2" t="s">
        <v>235</v>
      </c>
      <c r="D94" s="2" t="s">
        <v>87</v>
      </c>
      <c r="E94" s="2" t="s">
        <v>87</v>
      </c>
      <c r="F94" s="2" t="s">
        <v>48</v>
      </c>
      <c r="G94" s="2" t="s">
        <v>30</v>
      </c>
      <c r="H94" s="2" t="s">
        <v>60</v>
      </c>
      <c r="I94" s="2" t="s">
        <v>32</v>
      </c>
      <c r="J94" s="4" t="n">
        <v>5</v>
      </c>
      <c r="K94" s="5" t="n">
        <v>8300</v>
      </c>
      <c r="L94" s="5" t="n">
        <f aca="false">J94*K94</f>
        <v>41500</v>
      </c>
      <c r="M94" s="2" t="s">
        <v>40</v>
      </c>
      <c r="N94" s="4" t="s">
        <v>41</v>
      </c>
      <c r="O94" s="2"/>
    </row>
    <row r="95" customFormat="false" ht="15" hidden="false" customHeight="false" outlineLevel="0" collapsed="false">
      <c r="A95" s="6" t="s">
        <v>236</v>
      </c>
      <c r="B95" s="7" t="n">
        <v>45293</v>
      </c>
      <c r="C95" s="6" t="s">
        <v>199</v>
      </c>
      <c r="D95" s="6" t="s">
        <v>36</v>
      </c>
      <c r="E95" s="6" t="s">
        <v>37</v>
      </c>
      <c r="F95" s="6" t="s">
        <v>19</v>
      </c>
      <c r="G95" s="6" t="s">
        <v>30</v>
      </c>
      <c r="H95" s="6" t="s">
        <v>88</v>
      </c>
      <c r="I95" s="6" t="s">
        <v>89</v>
      </c>
      <c r="J95" s="8" t="n">
        <v>4</v>
      </c>
      <c r="K95" s="9" t="n">
        <v>1000</v>
      </c>
      <c r="L95" s="9" t="n">
        <f aca="false">J95*K95</f>
        <v>4000</v>
      </c>
      <c r="M95" s="6" t="s">
        <v>23</v>
      </c>
      <c r="N95" s="8" t="s">
        <v>24</v>
      </c>
      <c r="O95" s="8" t="n">
        <v>5</v>
      </c>
    </row>
    <row r="96" customFormat="false" ht="15" hidden="false" customHeight="false" outlineLevel="0" collapsed="false">
      <c r="A96" s="2" t="s">
        <v>237</v>
      </c>
      <c r="B96" s="3" t="n">
        <v>45485</v>
      </c>
      <c r="C96" s="2" t="s">
        <v>238</v>
      </c>
      <c r="D96" s="2" t="s">
        <v>27</v>
      </c>
      <c r="E96" s="2" t="s">
        <v>28</v>
      </c>
      <c r="F96" s="2" t="s">
        <v>19</v>
      </c>
      <c r="G96" s="2" t="s">
        <v>30</v>
      </c>
      <c r="H96" s="2" t="s">
        <v>110</v>
      </c>
      <c r="I96" s="2" t="s">
        <v>22</v>
      </c>
      <c r="J96" s="4" t="n">
        <v>2</v>
      </c>
      <c r="K96" s="5" t="n">
        <v>800</v>
      </c>
      <c r="L96" s="5" t="n">
        <f aca="false">J96*K96</f>
        <v>1600</v>
      </c>
      <c r="M96" s="2" t="s">
        <v>40</v>
      </c>
      <c r="N96" s="4" t="s">
        <v>41</v>
      </c>
      <c r="O96" s="2"/>
    </row>
    <row r="97" customFormat="false" ht="15" hidden="false" customHeight="false" outlineLevel="0" collapsed="false">
      <c r="A97" s="6" t="s">
        <v>239</v>
      </c>
      <c r="B97" s="7" t="n">
        <v>45502</v>
      </c>
      <c r="C97" s="6" t="s">
        <v>240</v>
      </c>
      <c r="D97" s="6" t="s">
        <v>36</v>
      </c>
      <c r="E97" s="6" t="s">
        <v>37</v>
      </c>
      <c r="F97" s="6" t="s">
        <v>48</v>
      </c>
      <c r="G97" s="6" t="s">
        <v>30</v>
      </c>
      <c r="H97" s="6" t="s">
        <v>55</v>
      </c>
      <c r="I97" s="6" t="s">
        <v>56</v>
      </c>
      <c r="J97" s="8" t="n">
        <v>2</v>
      </c>
      <c r="K97" s="9" t="n">
        <v>2300</v>
      </c>
      <c r="L97" s="9" t="n">
        <f aca="false">J97*K97</f>
        <v>4600</v>
      </c>
      <c r="M97" s="6" t="s">
        <v>23</v>
      </c>
      <c r="N97" s="8" t="s">
        <v>24</v>
      </c>
      <c r="O97" s="8" t="n">
        <v>5</v>
      </c>
    </row>
    <row r="98" customFormat="false" ht="15" hidden="false" customHeight="false" outlineLevel="0" collapsed="false">
      <c r="A98" s="2" t="s">
        <v>241</v>
      </c>
      <c r="B98" s="3" t="n">
        <v>45461</v>
      </c>
      <c r="C98" s="2" t="s">
        <v>242</v>
      </c>
      <c r="D98" s="2" t="s">
        <v>87</v>
      </c>
      <c r="E98" s="2" t="s">
        <v>87</v>
      </c>
      <c r="F98" s="2" t="s">
        <v>29</v>
      </c>
      <c r="G98" s="2" t="s">
        <v>30</v>
      </c>
      <c r="H98" s="2" t="s">
        <v>31</v>
      </c>
      <c r="I98" s="2" t="s">
        <v>32</v>
      </c>
      <c r="J98" s="4" t="n">
        <v>2</v>
      </c>
      <c r="K98" s="5" t="n">
        <v>4200</v>
      </c>
      <c r="L98" s="5" t="n">
        <f aca="false">J98*K98</f>
        <v>8400</v>
      </c>
      <c r="M98" s="2" t="s">
        <v>40</v>
      </c>
      <c r="N98" s="4" t="s">
        <v>41</v>
      </c>
      <c r="O98" s="2"/>
    </row>
    <row r="99" customFormat="false" ht="15" hidden="false" customHeight="false" outlineLevel="0" collapsed="false">
      <c r="A99" s="6" t="s">
        <v>243</v>
      </c>
      <c r="B99" s="7" t="n">
        <v>45627</v>
      </c>
      <c r="C99" s="6" t="s">
        <v>244</v>
      </c>
      <c r="D99" s="6" t="s">
        <v>36</v>
      </c>
      <c r="E99" s="6" t="s">
        <v>37</v>
      </c>
      <c r="F99" s="6" t="s">
        <v>48</v>
      </c>
      <c r="G99" s="6" t="s">
        <v>20</v>
      </c>
      <c r="H99" s="6" t="s">
        <v>144</v>
      </c>
      <c r="I99" s="6" t="s">
        <v>114</v>
      </c>
      <c r="J99" s="8" t="n">
        <v>4</v>
      </c>
      <c r="K99" s="9" t="n">
        <v>2900</v>
      </c>
      <c r="L99" s="9" t="n">
        <f aca="false">J99*K99</f>
        <v>11600</v>
      </c>
      <c r="M99" s="6" t="s">
        <v>23</v>
      </c>
      <c r="N99" s="8" t="s">
        <v>24</v>
      </c>
      <c r="O99" s="8" t="n">
        <v>5</v>
      </c>
    </row>
    <row r="100" customFormat="false" ht="15" hidden="false" customHeight="false" outlineLevel="0" collapsed="false">
      <c r="A100" s="2" t="s">
        <v>245</v>
      </c>
      <c r="B100" s="3" t="n">
        <v>45565</v>
      </c>
      <c r="C100" s="2" t="s">
        <v>246</v>
      </c>
      <c r="D100" s="2" t="s">
        <v>36</v>
      </c>
      <c r="E100" s="2" t="s">
        <v>37</v>
      </c>
      <c r="F100" s="2" t="s">
        <v>29</v>
      </c>
      <c r="G100" s="2" t="s">
        <v>54</v>
      </c>
      <c r="H100" s="2" t="s">
        <v>144</v>
      </c>
      <c r="I100" s="2" t="s">
        <v>114</v>
      </c>
      <c r="J100" s="4" t="n">
        <v>1</v>
      </c>
      <c r="K100" s="5" t="n">
        <v>1600</v>
      </c>
      <c r="L100" s="5" t="n">
        <f aca="false">J100*K100</f>
        <v>1600</v>
      </c>
      <c r="M100" s="2" t="s">
        <v>33</v>
      </c>
      <c r="N100" s="4" t="s">
        <v>24</v>
      </c>
      <c r="O100" s="2"/>
    </row>
    <row r="101" customFormat="false" ht="15" hidden="false" customHeight="false" outlineLevel="0" collapsed="false">
      <c r="A101" s="6" t="s">
        <v>247</v>
      </c>
      <c r="B101" s="7" t="n">
        <v>45439</v>
      </c>
      <c r="C101" s="6" t="s">
        <v>97</v>
      </c>
      <c r="D101" s="6" t="s">
        <v>76</v>
      </c>
      <c r="E101" s="6" t="s">
        <v>77</v>
      </c>
      <c r="F101" s="6" t="s">
        <v>19</v>
      </c>
      <c r="G101" s="6" t="s">
        <v>30</v>
      </c>
      <c r="H101" s="6" t="s">
        <v>128</v>
      </c>
      <c r="I101" s="6" t="s">
        <v>129</v>
      </c>
      <c r="J101" s="8" t="n">
        <v>1</v>
      </c>
      <c r="K101" s="9" t="n">
        <v>400</v>
      </c>
      <c r="L101" s="9" t="n">
        <f aca="false">J101*K101</f>
        <v>400</v>
      </c>
      <c r="M101" s="6" t="s">
        <v>23</v>
      </c>
      <c r="N101" s="8" t="s">
        <v>24</v>
      </c>
      <c r="O101" s="8" t="n">
        <v>3</v>
      </c>
    </row>
    <row r="102" customFormat="false" ht="15" hidden="false" customHeight="false" outlineLevel="0" collapsed="false">
      <c r="A102" s="2" t="s">
        <v>248</v>
      </c>
      <c r="B102" s="3" t="n">
        <v>45315</v>
      </c>
      <c r="C102" s="2" t="s">
        <v>116</v>
      </c>
      <c r="D102" s="2" t="s">
        <v>17</v>
      </c>
      <c r="E102" s="2" t="s">
        <v>18</v>
      </c>
      <c r="F102" s="2" t="s">
        <v>48</v>
      </c>
      <c r="G102" s="2" t="s">
        <v>20</v>
      </c>
      <c r="H102" s="2" t="s">
        <v>110</v>
      </c>
      <c r="I102" s="2" t="s">
        <v>22</v>
      </c>
      <c r="J102" s="4" t="n">
        <v>2</v>
      </c>
      <c r="K102" s="5" t="n">
        <v>300</v>
      </c>
      <c r="L102" s="5" t="n">
        <f aca="false">J102*K102</f>
        <v>600</v>
      </c>
      <c r="M102" s="2" t="s">
        <v>51</v>
      </c>
      <c r="N102" s="4" t="s">
        <v>24</v>
      </c>
      <c r="O102" s="2"/>
    </row>
    <row r="103" customFormat="false" ht="15" hidden="false" customHeight="false" outlineLevel="0" collapsed="false">
      <c r="A103" s="6" t="s">
        <v>249</v>
      </c>
      <c r="B103" s="7" t="n">
        <v>45641</v>
      </c>
      <c r="C103" s="6" t="s">
        <v>250</v>
      </c>
      <c r="D103" s="6" t="s">
        <v>63</v>
      </c>
      <c r="E103" s="6" t="s">
        <v>64</v>
      </c>
      <c r="F103" s="6" t="s">
        <v>19</v>
      </c>
      <c r="G103" s="6" t="s">
        <v>30</v>
      </c>
      <c r="H103" s="6" t="s">
        <v>69</v>
      </c>
      <c r="I103" s="6" t="s">
        <v>50</v>
      </c>
      <c r="J103" s="8" t="n">
        <v>4</v>
      </c>
      <c r="K103" s="9" t="n">
        <v>3800</v>
      </c>
      <c r="L103" s="9" t="n">
        <f aca="false">J103*K103</f>
        <v>15200</v>
      </c>
      <c r="M103" s="6" t="s">
        <v>33</v>
      </c>
      <c r="N103" s="8" t="s">
        <v>24</v>
      </c>
      <c r="O103" s="6"/>
    </row>
    <row r="104" customFormat="false" ht="15" hidden="false" customHeight="false" outlineLevel="0" collapsed="false">
      <c r="A104" s="2" t="s">
        <v>251</v>
      </c>
      <c r="B104" s="3" t="n">
        <v>45590</v>
      </c>
      <c r="C104" s="2" t="s">
        <v>252</v>
      </c>
      <c r="D104" s="2" t="s">
        <v>36</v>
      </c>
      <c r="E104" s="2" t="s">
        <v>37</v>
      </c>
      <c r="F104" s="2" t="s">
        <v>48</v>
      </c>
      <c r="G104" s="2" t="s">
        <v>30</v>
      </c>
      <c r="H104" s="2" t="s">
        <v>113</v>
      </c>
      <c r="I104" s="2" t="s">
        <v>114</v>
      </c>
      <c r="J104" s="4" t="n">
        <v>1</v>
      </c>
      <c r="K104" s="5" t="n">
        <v>2100</v>
      </c>
      <c r="L104" s="5" t="n">
        <f aca="false">J104*K104</f>
        <v>2100</v>
      </c>
      <c r="M104" s="2" t="s">
        <v>23</v>
      </c>
      <c r="N104" s="4" t="s">
        <v>24</v>
      </c>
      <c r="O104" s="4" t="n">
        <v>3</v>
      </c>
    </row>
    <row r="105" customFormat="false" ht="15" hidden="false" customHeight="false" outlineLevel="0" collapsed="false">
      <c r="A105" s="6" t="s">
        <v>253</v>
      </c>
      <c r="B105" s="7" t="n">
        <v>45329</v>
      </c>
      <c r="C105" s="6" t="s">
        <v>238</v>
      </c>
      <c r="D105" s="6" t="s">
        <v>17</v>
      </c>
      <c r="E105" s="6" t="s">
        <v>18</v>
      </c>
      <c r="F105" s="6" t="s">
        <v>48</v>
      </c>
      <c r="G105" s="6" t="s">
        <v>30</v>
      </c>
      <c r="H105" s="6" t="s">
        <v>113</v>
      </c>
      <c r="I105" s="6" t="s">
        <v>114</v>
      </c>
      <c r="J105" s="8" t="n">
        <v>4</v>
      </c>
      <c r="K105" s="9" t="n">
        <v>1600</v>
      </c>
      <c r="L105" s="9" t="n">
        <f aca="false">J105*K105</f>
        <v>6400</v>
      </c>
      <c r="M105" s="6" t="s">
        <v>23</v>
      </c>
      <c r="N105" s="8" t="s">
        <v>24</v>
      </c>
      <c r="O105" s="8" t="n">
        <v>4</v>
      </c>
    </row>
    <row r="106" customFormat="false" ht="15" hidden="false" customHeight="false" outlineLevel="0" collapsed="false">
      <c r="A106" s="2" t="s">
        <v>254</v>
      </c>
      <c r="B106" s="3" t="n">
        <v>45346</v>
      </c>
      <c r="C106" s="2" t="s">
        <v>255</v>
      </c>
      <c r="D106" s="2" t="s">
        <v>59</v>
      </c>
      <c r="E106" s="2" t="s">
        <v>47</v>
      </c>
      <c r="F106" s="2" t="s">
        <v>29</v>
      </c>
      <c r="G106" s="2" t="s">
        <v>20</v>
      </c>
      <c r="H106" s="2" t="s">
        <v>128</v>
      </c>
      <c r="I106" s="2" t="s">
        <v>129</v>
      </c>
      <c r="J106" s="4" t="n">
        <v>3</v>
      </c>
      <c r="K106" s="5" t="n">
        <v>100</v>
      </c>
      <c r="L106" s="5" t="n">
        <f aca="false">J106*K106</f>
        <v>300</v>
      </c>
      <c r="M106" s="2" t="s">
        <v>40</v>
      </c>
      <c r="N106" s="4" t="s">
        <v>41</v>
      </c>
      <c r="O106" s="2"/>
    </row>
    <row r="107" customFormat="false" ht="15" hidden="false" customHeight="false" outlineLevel="0" collapsed="false">
      <c r="A107" s="6" t="s">
        <v>256</v>
      </c>
      <c r="B107" s="7" t="n">
        <v>45629</v>
      </c>
      <c r="C107" s="6" t="s">
        <v>257</v>
      </c>
      <c r="D107" s="6" t="s">
        <v>46</v>
      </c>
      <c r="E107" s="6" t="s">
        <v>47</v>
      </c>
      <c r="F107" s="6" t="s">
        <v>29</v>
      </c>
      <c r="G107" s="6" t="s">
        <v>30</v>
      </c>
      <c r="H107" s="6" t="s">
        <v>38</v>
      </c>
      <c r="I107" s="6" t="s">
        <v>39</v>
      </c>
      <c r="J107" s="8" t="n">
        <v>1</v>
      </c>
      <c r="K107" s="9" t="n">
        <v>7700</v>
      </c>
      <c r="L107" s="9" t="n">
        <f aca="false">J107*K107</f>
        <v>7700</v>
      </c>
      <c r="M107" s="6" t="s">
        <v>33</v>
      </c>
      <c r="N107" s="8" t="s">
        <v>24</v>
      </c>
      <c r="O107" s="6"/>
    </row>
    <row r="108" customFormat="false" ht="15" hidden="false" customHeight="false" outlineLevel="0" collapsed="false">
      <c r="A108" s="2" t="s">
        <v>258</v>
      </c>
      <c r="B108" s="3" t="n">
        <v>45438</v>
      </c>
      <c r="C108" s="2" t="s">
        <v>259</v>
      </c>
      <c r="D108" s="2" t="s">
        <v>59</v>
      </c>
      <c r="E108" s="2" t="s">
        <v>47</v>
      </c>
      <c r="F108" s="2" t="s">
        <v>19</v>
      </c>
      <c r="G108" s="2" t="s">
        <v>30</v>
      </c>
      <c r="H108" s="2" t="s">
        <v>65</v>
      </c>
      <c r="I108" s="2" t="s">
        <v>39</v>
      </c>
      <c r="J108" s="4" t="n">
        <v>5</v>
      </c>
      <c r="K108" s="5" t="n">
        <v>3500</v>
      </c>
      <c r="L108" s="5" t="n">
        <f aca="false">J108*K108</f>
        <v>17500</v>
      </c>
      <c r="M108" s="2" t="s">
        <v>33</v>
      </c>
      <c r="N108" s="4" t="s">
        <v>24</v>
      </c>
      <c r="O108" s="2"/>
    </row>
    <row r="109" customFormat="false" ht="15" hidden="false" customHeight="false" outlineLevel="0" collapsed="false">
      <c r="A109" s="6" t="s">
        <v>260</v>
      </c>
      <c r="B109" s="7" t="n">
        <v>45629</v>
      </c>
      <c r="C109" s="6" t="s">
        <v>244</v>
      </c>
      <c r="D109" s="6" t="s">
        <v>46</v>
      </c>
      <c r="E109" s="6" t="s">
        <v>47</v>
      </c>
      <c r="F109" s="6" t="s">
        <v>48</v>
      </c>
      <c r="G109" s="6" t="s">
        <v>30</v>
      </c>
      <c r="H109" s="6" t="s">
        <v>31</v>
      </c>
      <c r="I109" s="6" t="s">
        <v>32</v>
      </c>
      <c r="J109" s="8" t="n">
        <v>5</v>
      </c>
      <c r="K109" s="9" t="n">
        <v>4000</v>
      </c>
      <c r="L109" s="9" t="n">
        <f aca="false">J109*K109</f>
        <v>20000</v>
      </c>
      <c r="M109" s="6" t="s">
        <v>33</v>
      </c>
      <c r="N109" s="8" t="s">
        <v>24</v>
      </c>
      <c r="O109" s="6"/>
    </row>
    <row r="110" customFormat="false" ht="15" hidden="false" customHeight="false" outlineLevel="0" collapsed="false">
      <c r="A110" s="2" t="s">
        <v>261</v>
      </c>
      <c r="B110" s="3" t="n">
        <v>45443</v>
      </c>
      <c r="C110" s="2" t="s">
        <v>226</v>
      </c>
      <c r="D110" s="2" t="s">
        <v>63</v>
      </c>
      <c r="E110" s="2" t="s">
        <v>64</v>
      </c>
      <c r="F110" s="2" t="s">
        <v>19</v>
      </c>
      <c r="G110" s="2" t="s">
        <v>20</v>
      </c>
      <c r="H110" s="2" t="s">
        <v>38</v>
      </c>
      <c r="I110" s="2" t="s">
        <v>39</v>
      </c>
      <c r="J110" s="4" t="n">
        <v>5</v>
      </c>
      <c r="K110" s="5" t="n">
        <v>6200</v>
      </c>
      <c r="L110" s="5" t="n">
        <f aca="false">J110*K110</f>
        <v>31000</v>
      </c>
      <c r="M110" s="2" t="s">
        <v>51</v>
      </c>
      <c r="N110" s="4" t="s">
        <v>24</v>
      </c>
      <c r="O110" s="2"/>
    </row>
    <row r="111" customFormat="false" ht="15" hidden="false" customHeight="false" outlineLevel="0" collapsed="false">
      <c r="A111" s="6" t="s">
        <v>262</v>
      </c>
      <c r="B111" s="7" t="n">
        <v>45431</v>
      </c>
      <c r="C111" s="6" t="s">
        <v>263</v>
      </c>
      <c r="D111" s="6" t="s">
        <v>36</v>
      </c>
      <c r="E111" s="6" t="s">
        <v>37</v>
      </c>
      <c r="F111" s="6" t="s">
        <v>48</v>
      </c>
      <c r="G111" s="6" t="s">
        <v>30</v>
      </c>
      <c r="H111" s="6" t="s">
        <v>69</v>
      </c>
      <c r="I111" s="6" t="s">
        <v>50</v>
      </c>
      <c r="J111" s="8" t="n">
        <v>3</v>
      </c>
      <c r="K111" s="9" t="n">
        <v>4400</v>
      </c>
      <c r="L111" s="9" t="n">
        <f aca="false">J111*K111</f>
        <v>13200</v>
      </c>
      <c r="M111" s="6" t="s">
        <v>23</v>
      </c>
      <c r="N111" s="8" t="s">
        <v>24</v>
      </c>
      <c r="O111" s="8" t="n">
        <v>3</v>
      </c>
    </row>
    <row r="112" customFormat="false" ht="15" hidden="false" customHeight="false" outlineLevel="0" collapsed="false">
      <c r="A112" s="2" t="s">
        <v>264</v>
      </c>
      <c r="B112" s="3" t="n">
        <v>45364</v>
      </c>
      <c r="C112" s="2" t="s">
        <v>255</v>
      </c>
      <c r="D112" s="2" t="s">
        <v>59</v>
      </c>
      <c r="E112" s="2" t="s">
        <v>47</v>
      </c>
      <c r="F112" s="2" t="s">
        <v>19</v>
      </c>
      <c r="G112" s="2" t="s">
        <v>30</v>
      </c>
      <c r="H112" s="2" t="s">
        <v>31</v>
      </c>
      <c r="I112" s="2" t="s">
        <v>32</v>
      </c>
      <c r="J112" s="4" t="n">
        <v>3</v>
      </c>
      <c r="K112" s="5" t="n">
        <v>4600</v>
      </c>
      <c r="L112" s="5" t="n">
        <f aca="false">J112*K112</f>
        <v>13800</v>
      </c>
      <c r="M112" s="2" t="s">
        <v>23</v>
      </c>
      <c r="N112" s="4" t="s">
        <v>24</v>
      </c>
      <c r="O112" s="4" t="n">
        <v>5</v>
      </c>
    </row>
    <row r="113" customFormat="false" ht="15" hidden="false" customHeight="false" outlineLevel="0" collapsed="false">
      <c r="A113" s="6" t="s">
        <v>265</v>
      </c>
      <c r="B113" s="7" t="n">
        <v>45636</v>
      </c>
      <c r="C113" s="6" t="s">
        <v>266</v>
      </c>
      <c r="D113" s="6" t="s">
        <v>76</v>
      </c>
      <c r="E113" s="6" t="s">
        <v>77</v>
      </c>
      <c r="F113" s="6" t="s">
        <v>48</v>
      </c>
      <c r="G113" s="6" t="s">
        <v>54</v>
      </c>
      <c r="H113" s="6" t="s">
        <v>55</v>
      </c>
      <c r="I113" s="6" t="s">
        <v>56</v>
      </c>
      <c r="J113" s="8" t="n">
        <v>2</v>
      </c>
      <c r="K113" s="9" t="n">
        <v>2300</v>
      </c>
      <c r="L113" s="9" t="n">
        <f aca="false">J113*K113</f>
        <v>4600</v>
      </c>
      <c r="M113" s="6" t="s">
        <v>23</v>
      </c>
      <c r="N113" s="8" t="s">
        <v>24</v>
      </c>
      <c r="O113" s="8" t="n">
        <v>5</v>
      </c>
    </row>
    <row r="114" customFormat="false" ht="15" hidden="false" customHeight="false" outlineLevel="0" collapsed="false">
      <c r="A114" s="2" t="s">
        <v>267</v>
      </c>
      <c r="B114" s="3" t="n">
        <v>45459</v>
      </c>
      <c r="C114" s="2" t="s">
        <v>268</v>
      </c>
      <c r="D114" s="2" t="s">
        <v>87</v>
      </c>
      <c r="E114" s="2" t="s">
        <v>87</v>
      </c>
      <c r="F114" s="2" t="s">
        <v>48</v>
      </c>
      <c r="G114" s="2" t="s">
        <v>30</v>
      </c>
      <c r="H114" s="2" t="s">
        <v>113</v>
      </c>
      <c r="I114" s="2" t="s">
        <v>114</v>
      </c>
      <c r="J114" s="4" t="n">
        <v>4</v>
      </c>
      <c r="K114" s="5" t="n">
        <v>1000</v>
      </c>
      <c r="L114" s="5" t="n">
        <f aca="false">J114*K114</f>
        <v>4000</v>
      </c>
      <c r="M114" s="2" t="s">
        <v>23</v>
      </c>
      <c r="N114" s="4" t="s">
        <v>41</v>
      </c>
      <c r="O114" s="4" t="n">
        <v>3</v>
      </c>
    </row>
    <row r="115" customFormat="false" ht="15" hidden="false" customHeight="false" outlineLevel="0" collapsed="false">
      <c r="A115" s="6" t="s">
        <v>269</v>
      </c>
      <c r="B115" s="7" t="n">
        <v>45447</v>
      </c>
      <c r="C115" s="6" t="s">
        <v>224</v>
      </c>
      <c r="D115" s="6" t="s">
        <v>87</v>
      </c>
      <c r="E115" s="6" t="s">
        <v>87</v>
      </c>
      <c r="F115" s="6" t="s">
        <v>19</v>
      </c>
      <c r="G115" s="6" t="s">
        <v>30</v>
      </c>
      <c r="H115" s="6" t="s">
        <v>21</v>
      </c>
      <c r="I115" s="6" t="s">
        <v>22</v>
      </c>
      <c r="J115" s="8" t="n">
        <v>4</v>
      </c>
      <c r="K115" s="9" t="n">
        <v>1100</v>
      </c>
      <c r="L115" s="9" t="n">
        <f aca="false">J115*K115</f>
        <v>4400</v>
      </c>
      <c r="M115" s="6" t="s">
        <v>23</v>
      </c>
      <c r="N115" s="8" t="s">
        <v>24</v>
      </c>
      <c r="O115" s="8" t="n">
        <v>5</v>
      </c>
    </row>
    <row r="116" customFormat="false" ht="15" hidden="false" customHeight="false" outlineLevel="0" collapsed="false">
      <c r="A116" s="2" t="s">
        <v>270</v>
      </c>
      <c r="B116" s="3" t="n">
        <v>45648</v>
      </c>
      <c r="C116" s="2" t="s">
        <v>271</v>
      </c>
      <c r="D116" s="2" t="s">
        <v>63</v>
      </c>
      <c r="E116" s="2" t="s">
        <v>64</v>
      </c>
      <c r="F116" s="2" t="s">
        <v>48</v>
      </c>
      <c r="G116" s="2" t="s">
        <v>30</v>
      </c>
      <c r="H116" s="2" t="s">
        <v>49</v>
      </c>
      <c r="I116" s="2" t="s">
        <v>50</v>
      </c>
      <c r="J116" s="4" t="n">
        <v>4</v>
      </c>
      <c r="K116" s="5" t="n">
        <v>3300</v>
      </c>
      <c r="L116" s="5" t="n">
        <f aca="false">J116*K116</f>
        <v>13200</v>
      </c>
      <c r="M116" s="2" t="s">
        <v>66</v>
      </c>
      <c r="N116" s="4" t="s">
        <v>24</v>
      </c>
      <c r="O116" s="2"/>
    </row>
    <row r="117" customFormat="false" ht="15" hidden="false" customHeight="false" outlineLevel="0" collapsed="false">
      <c r="A117" s="6" t="s">
        <v>272</v>
      </c>
      <c r="B117" s="7" t="n">
        <v>45435</v>
      </c>
      <c r="C117" s="6" t="s">
        <v>240</v>
      </c>
      <c r="D117" s="6" t="s">
        <v>27</v>
      </c>
      <c r="E117" s="6" t="s">
        <v>28</v>
      </c>
      <c r="F117" s="6" t="s">
        <v>48</v>
      </c>
      <c r="G117" s="6" t="s">
        <v>30</v>
      </c>
      <c r="H117" s="6" t="s">
        <v>65</v>
      </c>
      <c r="I117" s="6" t="s">
        <v>39</v>
      </c>
      <c r="J117" s="8" t="n">
        <v>3</v>
      </c>
      <c r="K117" s="9" t="n">
        <v>2500</v>
      </c>
      <c r="L117" s="9" t="n">
        <f aca="false">J117*K117</f>
        <v>7500</v>
      </c>
      <c r="M117" s="6" t="s">
        <v>33</v>
      </c>
      <c r="N117" s="8" t="s">
        <v>24</v>
      </c>
      <c r="O117" s="6"/>
    </row>
    <row r="118" customFormat="false" ht="15" hidden="false" customHeight="false" outlineLevel="0" collapsed="false">
      <c r="A118" s="2" t="s">
        <v>273</v>
      </c>
      <c r="B118" s="3" t="n">
        <v>45622</v>
      </c>
      <c r="C118" s="2" t="s">
        <v>274</v>
      </c>
      <c r="D118" s="2" t="s">
        <v>76</v>
      </c>
      <c r="E118" s="2" t="s">
        <v>77</v>
      </c>
      <c r="F118" s="2" t="s">
        <v>48</v>
      </c>
      <c r="G118" s="2" t="s">
        <v>20</v>
      </c>
      <c r="H118" s="2" t="s">
        <v>49</v>
      </c>
      <c r="I118" s="2" t="s">
        <v>50</v>
      </c>
      <c r="J118" s="4" t="n">
        <v>4</v>
      </c>
      <c r="K118" s="5" t="n">
        <v>1600</v>
      </c>
      <c r="L118" s="5" t="n">
        <f aca="false">J118*K118</f>
        <v>6400</v>
      </c>
      <c r="M118" s="2" t="s">
        <v>33</v>
      </c>
      <c r="N118" s="4" t="s">
        <v>24</v>
      </c>
      <c r="O118" s="2"/>
    </row>
    <row r="119" customFormat="false" ht="15" hidden="false" customHeight="false" outlineLevel="0" collapsed="false">
      <c r="A119" s="6" t="s">
        <v>275</v>
      </c>
      <c r="B119" s="7" t="n">
        <v>45619</v>
      </c>
      <c r="C119" s="6" t="s">
        <v>276</v>
      </c>
      <c r="D119" s="6" t="s">
        <v>46</v>
      </c>
      <c r="E119" s="6" t="s">
        <v>47</v>
      </c>
      <c r="F119" s="6" t="s">
        <v>48</v>
      </c>
      <c r="G119" s="6" t="s">
        <v>20</v>
      </c>
      <c r="H119" s="6" t="s">
        <v>21</v>
      </c>
      <c r="I119" s="6" t="s">
        <v>22</v>
      </c>
      <c r="J119" s="8" t="n">
        <v>5</v>
      </c>
      <c r="K119" s="9" t="n">
        <v>700</v>
      </c>
      <c r="L119" s="9" t="n">
        <f aca="false">J119*K119</f>
        <v>3500</v>
      </c>
      <c r="M119" s="6" t="s">
        <v>23</v>
      </c>
      <c r="N119" s="8" t="s">
        <v>24</v>
      </c>
      <c r="O119" s="8" t="n">
        <v>5</v>
      </c>
    </row>
    <row r="120" customFormat="false" ht="15" hidden="false" customHeight="false" outlineLevel="0" collapsed="false">
      <c r="A120" s="2" t="s">
        <v>277</v>
      </c>
      <c r="B120" s="3" t="n">
        <v>45398</v>
      </c>
      <c r="C120" s="2" t="s">
        <v>278</v>
      </c>
      <c r="D120" s="2" t="s">
        <v>27</v>
      </c>
      <c r="E120" s="2" t="s">
        <v>28</v>
      </c>
      <c r="F120" s="2" t="s">
        <v>48</v>
      </c>
      <c r="G120" s="2" t="s">
        <v>20</v>
      </c>
      <c r="H120" s="2" t="s">
        <v>38</v>
      </c>
      <c r="I120" s="2" t="s">
        <v>39</v>
      </c>
      <c r="J120" s="4" t="n">
        <v>5</v>
      </c>
      <c r="K120" s="5" t="n">
        <v>3900</v>
      </c>
      <c r="L120" s="5" t="n">
        <f aca="false">J120*K120</f>
        <v>19500</v>
      </c>
      <c r="M120" s="2" t="s">
        <v>23</v>
      </c>
      <c r="N120" s="4" t="s">
        <v>24</v>
      </c>
      <c r="O120" s="4" t="n">
        <v>3</v>
      </c>
    </row>
    <row r="121" customFormat="false" ht="15" hidden="false" customHeight="false" outlineLevel="0" collapsed="false">
      <c r="A121" s="6" t="s">
        <v>279</v>
      </c>
      <c r="B121" s="7" t="n">
        <v>45358</v>
      </c>
      <c r="C121" s="6" t="s">
        <v>75</v>
      </c>
      <c r="D121" s="6" t="s">
        <v>63</v>
      </c>
      <c r="E121" s="6" t="s">
        <v>64</v>
      </c>
      <c r="F121" s="6" t="s">
        <v>19</v>
      </c>
      <c r="G121" s="6" t="s">
        <v>30</v>
      </c>
      <c r="H121" s="6" t="s">
        <v>69</v>
      </c>
      <c r="I121" s="6" t="s">
        <v>50</v>
      </c>
      <c r="J121" s="8" t="n">
        <v>1</v>
      </c>
      <c r="K121" s="9" t="n">
        <v>2300</v>
      </c>
      <c r="L121" s="9" t="n">
        <f aca="false">J121*K121</f>
        <v>2300</v>
      </c>
      <c r="M121" s="6" t="s">
        <v>23</v>
      </c>
      <c r="N121" s="8" t="s">
        <v>24</v>
      </c>
      <c r="O121" s="8" t="n">
        <v>3</v>
      </c>
    </row>
    <row r="122" customFormat="false" ht="15" hidden="false" customHeight="false" outlineLevel="0" collapsed="false">
      <c r="A122" s="2" t="s">
        <v>280</v>
      </c>
      <c r="B122" s="3" t="n">
        <v>45593</v>
      </c>
      <c r="C122" s="2" t="s">
        <v>116</v>
      </c>
      <c r="D122" s="2" t="s">
        <v>63</v>
      </c>
      <c r="E122" s="2" t="s">
        <v>64</v>
      </c>
      <c r="F122" s="2" t="s">
        <v>48</v>
      </c>
      <c r="G122" s="2" t="s">
        <v>54</v>
      </c>
      <c r="H122" s="2" t="s">
        <v>21</v>
      </c>
      <c r="I122" s="2" t="s">
        <v>22</v>
      </c>
      <c r="J122" s="4" t="n">
        <v>4</v>
      </c>
      <c r="K122" s="5" t="n">
        <v>1200</v>
      </c>
      <c r="L122" s="5" t="n">
        <f aca="false">J122*K122</f>
        <v>4800</v>
      </c>
      <c r="M122" s="2" t="s">
        <v>23</v>
      </c>
      <c r="N122" s="4" t="s">
        <v>24</v>
      </c>
      <c r="O122" s="4" t="n">
        <v>4</v>
      </c>
    </row>
    <row r="123" customFormat="false" ht="15" hidden="false" customHeight="false" outlineLevel="0" collapsed="false">
      <c r="A123" s="6" t="s">
        <v>281</v>
      </c>
      <c r="B123" s="7" t="n">
        <v>45521</v>
      </c>
      <c r="C123" s="6" t="s">
        <v>282</v>
      </c>
      <c r="D123" s="6" t="s">
        <v>87</v>
      </c>
      <c r="E123" s="6" t="s">
        <v>87</v>
      </c>
      <c r="F123" s="6" t="s">
        <v>48</v>
      </c>
      <c r="G123" s="6" t="s">
        <v>30</v>
      </c>
      <c r="H123" s="6" t="s">
        <v>65</v>
      </c>
      <c r="I123" s="6" t="s">
        <v>39</v>
      </c>
      <c r="J123" s="8" t="n">
        <v>5</v>
      </c>
      <c r="K123" s="9" t="n">
        <v>2100</v>
      </c>
      <c r="L123" s="9" t="n">
        <f aca="false">J123*K123</f>
        <v>10500</v>
      </c>
      <c r="M123" s="6" t="s">
        <v>33</v>
      </c>
      <c r="N123" s="8" t="s">
        <v>24</v>
      </c>
      <c r="O123" s="6"/>
    </row>
    <row r="124" customFormat="false" ht="15" hidden="false" customHeight="false" outlineLevel="0" collapsed="false">
      <c r="A124" s="2" t="s">
        <v>283</v>
      </c>
      <c r="B124" s="3" t="n">
        <v>45629</v>
      </c>
      <c r="C124" s="2" t="s">
        <v>149</v>
      </c>
      <c r="D124" s="2" t="s">
        <v>36</v>
      </c>
      <c r="E124" s="2" t="s">
        <v>37</v>
      </c>
      <c r="F124" s="2" t="s">
        <v>19</v>
      </c>
      <c r="G124" s="2" t="s">
        <v>54</v>
      </c>
      <c r="H124" s="2" t="s">
        <v>84</v>
      </c>
      <c r="I124" s="2" t="s">
        <v>32</v>
      </c>
      <c r="J124" s="4" t="n">
        <v>4</v>
      </c>
      <c r="K124" s="5" t="n">
        <v>2700</v>
      </c>
      <c r="L124" s="5" t="n">
        <f aca="false">J124*K124</f>
        <v>10800</v>
      </c>
      <c r="M124" s="2" t="s">
        <v>33</v>
      </c>
      <c r="N124" s="4" t="s">
        <v>24</v>
      </c>
      <c r="O124" s="2"/>
    </row>
    <row r="125" customFormat="false" ht="15" hidden="false" customHeight="false" outlineLevel="0" collapsed="false">
      <c r="A125" s="6" t="s">
        <v>284</v>
      </c>
      <c r="B125" s="7" t="n">
        <v>45656</v>
      </c>
      <c r="C125" s="6" t="s">
        <v>285</v>
      </c>
      <c r="D125" s="6" t="s">
        <v>87</v>
      </c>
      <c r="E125" s="6" t="s">
        <v>87</v>
      </c>
      <c r="F125" s="6" t="s">
        <v>48</v>
      </c>
      <c r="G125" s="6" t="s">
        <v>30</v>
      </c>
      <c r="H125" s="6" t="s">
        <v>21</v>
      </c>
      <c r="I125" s="6" t="s">
        <v>22</v>
      </c>
      <c r="J125" s="8" t="n">
        <v>1</v>
      </c>
      <c r="K125" s="9" t="n">
        <v>600</v>
      </c>
      <c r="L125" s="9" t="n">
        <f aca="false">J125*K125</f>
        <v>600</v>
      </c>
      <c r="M125" s="6" t="s">
        <v>23</v>
      </c>
      <c r="N125" s="8" t="s">
        <v>24</v>
      </c>
      <c r="O125" s="8" t="n">
        <v>5</v>
      </c>
    </row>
    <row r="126" customFormat="false" ht="15" hidden="false" customHeight="false" outlineLevel="0" collapsed="false">
      <c r="A126" s="2" t="s">
        <v>286</v>
      </c>
      <c r="B126" s="3" t="n">
        <v>45572</v>
      </c>
      <c r="C126" s="2" t="s">
        <v>226</v>
      </c>
      <c r="D126" s="2" t="s">
        <v>17</v>
      </c>
      <c r="E126" s="2" t="s">
        <v>18</v>
      </c>
      <c r="F126" s="2" t="s">
        <v>48</v>
      </c>
      <c r="G126" s="2" t="s">
        <v>30</v>
      </c>
      <c r="H126" s="2" t="s">
        <v>144</v>
      </c>
      <c r="I126" s="2" t="s">
        <v>114</v>
      </c>
      <c r="J126" s="4" t="n">
        <v>4</v>
      </c>
      <c r="K126" s="5" t="n">
        <v>1200</v>
      </c>
      <c r="L126" s="5" t="n">
        <f aca="false">J126*K126</f>
        <v>4800</v>
      </c>
      <c r="M126" s="2" t="s">
        <v>40</v>
      </c>
      <c r="N126" s="4" t="s">
        <v>41</v>
      </c>
      <c r="O126" s="2"/>
    </row>
    <row r="127" customFormat="false" ht="15" hidden="false" customHeight="false" outlineLevel="0" collapsed="false">
      <c r="A127" s="6" t="s">
        <v>287</v>
      </c>
      <c r="B127" s="7" t="n">
        <v>45651</v>
      </c>
      <c r="C127" s="6" t="s">
        <v>288</v>
      </c>
      <c r="D127" s="6" t="s">
        <v>27</v>
      </c>
      <c r="E127" s="6" t="s">
        <v>28</v>
      </c>
      <c r="F127" s="6" t="s">
        <v>48</v>
      </c>
      <c r="G127" s="6" t="s">
        <v>30</v>
      </c>
      <c r="H127" s="6" t="s">
        <v>72</v>
      </c>
      <c r="I127" s="6" t="s">
        <v>73</v>
      </c>
      <c r="J127" s="8" t="n">
        <v>2</v>
      </c>
      <c r="K127" s="9" t="n">
        <v>1700</v>
      </c>
      <c r="L127" s="9" t="n">
        <f aca="false">J127*K127</f>
        <v>3400</v>
      </c>
      <c r="M127" s="6" t="s">
        <v>23</v>
      </c>
      <c r="N127" s="8" t="s">
        <v>24</v>
      </c>
      <c r="O127" s="8" t="n">
        <v>4</v>
      </c>
    </row>
    <row r="128" customFormat="false" ht="15" hidden="false" customHeight="false" outlineLevel="0" collapsed="false">
      <c r="A128" s="2" t="s">
        <v>289</v>
      </c>
      <c r="B128" s="3" t="n">
        <v>45504</v>
      </c>
      <c r="C128" s="2" t="s">
        <v>290</v>
      </c>
      <c r="D128" s="2" t="s">
        <v>76</v>
      </c>
      <c r="E128" s="2" t="s">
        <v>77</v>
      </c>
      <c r="F128" s="2" t="s">
        <v>48</v>
      </c>
      <c r="G128" s="2" t="s">
        <v>30</v>
      </c>
      <c r="H128" s="2" t="s">
        <v>113</v>
      </c>
      <c r="I128" s="2" t="s">
        <v>114</v>
      </c>
      <c r="J128" s="4" t="n">
        <v>3</v>
      </c>
      <c r="K128" s="5" t="n">
        <v>1100</v>
      </c>
      <c r="L128" s="5" t="n">
        <f aca="false">J128*K128</f>
        <v>3300</v>
      </c>
      <c r="M128" s="2" t="s">
        <v>33</v>
      </c>
      <c r="N128" s="4" t="s">
        <v>24</v>
      </c>
      <c r="O128" s="2"/>
    </row>
    <row r="129" customFormat="false" ht="15" hidden="false" customHeight="false" outlineLevel="0" collapsed="false">
      <c r="A129" s="6" t="s">
        <v>291</v>
      </c>
      <c r="B129" s="7" t="n">
        <v>45326</v>
      </c>
      <c r="C129" s="6" t="s">
        <v>292</v>
      </c>
      <c r="D129" s="6" t="s">
        <v>87</v>
      </c>
      <c r="E129" s="6" t="s">
        <v>87</v>
      </c>
      <c r="F129" s="6" t="s">
        <v>48</v>
      </c>
      <c r="G129" s="6" t="s">
        <v>54</v>
      </c>
      <c r="H129" s="6" t="s">
        <v>128</v>
      </c>
      <c r="I129" s="6" t="s">
        <v>129</v>
      </c>
      <c r="J129" s="8" t="n">
        <v>3</v>
      </c>
      <c r="K129" s="9" t="n">
        <v>200</v>
      </c>
      <c r="L129" s="9" t="n">
        <f aca="false">J129*K129</f>
        <v>600</v>
      </c>
      <c r="M129" s="6" t="s">
        <v>51</v>
      </c>
      <c r="N129" s="8" t="s">
        <v>24</v>
      </c>
      <c r="O129" s="6"/>
    </row>
    <row r="130" customFormat="false" ht="15" hidden="false" customHeight="false" outlineLevel="0" collapsed="false">
      <c r="A130" s="2" t="s">
        <v>293</v>
      </c>
      <c r="B130" s="3" t="n">
        <v>45579</v>
      </c>
      <c r="C130" s="2" t="s">
        <v>294</v>
      </c>
      <c r="D130" s="2" t="s">
        <v>87</v>
      </c>
      <c r="E130" s="2" t="s">
        <v>87</v>
      </c>
      <c r="F130" s="2" t="s">
        <v>48</v>
      </c>
      <c r="G130" s="2" t="s">
        <v>20</v>
      </c>
      <c r="H130" s="2" t="s">
        <v>69</v>
      </c>
      <c r="I130" s="2" t="s">
        <v>50</v>
      </c>
      <c r="J130" s="4" t="n">
        <v>4</v>
      </c>
      <c r="K130" s="5" t="n">
        <v>4600</v>
      </c>
      <c r="L130" s="5" t="n">
        <f aca="false">J130*K130</f>
        <v>18400</v>
      </c>
      <c r="M130" s="2" t="s">
        <v>33</v>
      </c>
      <c r="N130" s="4" t="s">
        <v>24</v>
      </c>
      <c r="O130" s="2"/>
    </row>
    <row r="131" customFormat="false" ht="15" hidden="false" customHeight="false" outlineLevel="0" collapsed="false">
      <c r="A131" s="6" t="s">
        <v>295</v>
      </c>
      <c r="B131" s="7" t="n">
        <v>45439</v>
      </c>
      <c r="C131" s="6" t="s">
        <v>45</v>
      </c>
      <c r="D131" s="6" t="s">
        <v>59</v>
      </c>
      <c r="E131" s="6" t="s">
        <v>47</v>
      </c>
      <c r="F131" s="6" t="s">
        <v>19</v>
      </c>
      <c r="G131" s="6" t="s">
        <v>30</v>
      </c>
      <c r="H131" s="6" t="s">
        <v>88</v>
      </c>
      <c r="I131" s="6" t="s">
        <v>89</v>
      </c>
      <c r="J131" s="8" t="n">
        <v>2</v>
      </c>
      <c r="K131" s="9" t="n">
        <v>700</v>
      </c>
      <c r="L131" s="9" t="n">
        <f aca="false">J131*K131</f>
        <v>1400</v>
      </c>
      <c r="M131" s="6" t="s">
        <v>33</v>
      </c>
      <c r="N131" s="8" t="s">
        <v>24</v>
      </c>
      <c r="O131" s="6"/>
    </row>
    <row r="132" customFormat="false" ht="15" hidden="false" customHeight="false" outlineLevel="0" collapsed="false">
      <c r="A132" s="2" t="s">
        <v>296</v>
      </c>
      <c r="B132" s="3" t="n">
        <v>45347</v>
      </c>
      <c r="C132" s="2" t="s">
        <v>282</v>
      </c>
      <c r="D132" s="2" t="s">
        <v>59</v>
      </c>
      <c r="E132" s="2" t="s">
        <v>47</v>
      </c>
      <c r="F132" s="2" t="s">
        <v>19</v>
      </c>
      <c r="G132" s="2" t="s">
        <v>20</v>
      </c>
      <c r="H132" s="2" t="s">
        <v>144</v>
      </c>
      <c r="I132" s="2" t="s">
        <v>114</v>
      </c>
      <c r="J132" s="4" t="n">
        <v>2</v>
      </c>
      <c r="K132" s="5" t="n">
        <v>3400</v>
      </c>
      <c r="L132" s="5" t="n">
        <f aca="false">J132*K132</f>
        <v>6800</v>
      </c>
      <c r="M132" s="2" t="s">
        <v>66</v>
      </c>
      <c r="N132" s="4" t="s">
        <v>24</v>
      </c>
      <c r="O132" s="2"/>
    </row>
    <row r="133" customFormat="false" ht="15" hidden="false" customHeight="false" outlineLevel="0" collapsed="false">
      <c r="A133" s="6" t="s">
        <v>297</v>
      </c>
      <c r="B133" s="7" t="n">
        <v>45610</v>
      </c>
      <c r="C133" s="6" t="s">
        <v>298</v>
      </c>
      <c r="D133" s="6" t="s">
        <v>46</v>
      </c>
      <c r="E133" s="6" t="s">
        <v>47</v>
      </c>
      <c r="F133" s="6" t="s">
        <v>29</v>
      </c>
      <c r="G133" s="6" t="s">
        <v>30</v>
      </c>
      <c r="H133" s="6" t="s">
        <v>69</v>
      </c>
      <c r="I133" s="6" t="s">
        <v>50</v>
      </c>
      <c r="J133" s="8" t="n">
        <v>3</v>
      </c>
      <c r="K133" s="9" t="n">
        <v>1900</v>
      </c>
      <c r="L133" s="9" t="n">
        <f aca="false">J133*K133</f>
        <v>5700</v>
      </c>
      <c r="M133" s="6" t="s">
        <v>23</v>
      </c>
      <c r="N133" s="8" t="s">
        <v>24</v>
      </c>
      <c r="O133" s="8" t="n">
        <v>4</v>
      </c>
    </row>
    <row r="134" customFormat="false" ht="15" hidden="false" customHeight="false" outlineLevel="0" collapsed="false">
      <c r="A134" s="2" t="s">
        <v>299</v>
      </c>
      <c r="B134" s="3" t="n">
        <v>45465</v>
      </c>
      <c r="C134" s="2" t="s">
        <v>274</v>
      </c>
      <c r="D134" s="2" t="s">
        <v>63</v>
      </c>
      <c r="E134" s="2" t="s">
        <v>64</v>
      </c>
      <c r="F134" s="2" t="s">
        <v>19</v>
      </c>
      <c r="G134" s="2" t="s">
        <v>30</v>
      </c>
      <c r="H134" s="2" t="s">
        <v>55</v>
      </c>
      <c r="I134" s="2" t="s">
        <v>56</v>
      </c>
      <c r="J134" s="4" t="n">
        <v>4</v>
      </c>
      <c r="K134" s="5" t="n">
        <v>1000</v>
      </c>
      <c r="L134" s="5" t="n">
        <f aca="false">J134*K134</f>
        <v>4000</v>
      </c>
      <c r="M134" s="2" t="s">
        <v>23</v>
      </c>
      <c r="N134" s="4" t="s">
        <v>24</v>
      </c>
      <c r="O134" s="4" t="n">
        <v>3</v>
      </c>
    </row>
    <row r="135" customFormat="false" ht="15" hidden="false" customHeight="false" outlineLevel="0" collapsed="false">
      <c r="A135" s="6" t="s">
        <v>300</v>
      </c>
      <c r="B135" s="7" t="n">
        <v>45338</v>
      </c>
      <c r="C135" s="6" t="s">
        <v>301</v>
      </c>
      <c r="D135" s="6" t="s">
        <v>76</v>
      </c>
      <c r="E135" s="6" t="s">
        <v>77</v>
      </c>
      <c r="F135" s="6" t="s">
        <v>48</v>
      </c>
      <c r="G135" s="6" t="s">
        <v>30</v>
      </c>
      <c r="H135" s="6" t="s">
        <v>60</v>
      </c>
      <c r="I135" s="6" t="s">
        <v>32</v>
      </c>
      <c r="J135" s="8" t="n">
        <v>2</v>
      </c>
      <c r="K135" s="9" t="n">
        <v>9600</v>
      </c>
      <c r="L135" s="9" t="n">
        <f aca="false">J135*K135</f>
        <v>19200</v>
      </c>
      <c r="M135" s="6" t="s">
        <v>23</v>
      </c>
      <c r="N135" s="8" t="s">
        <v>24</v>
      </c>
      <c r="O135" s="8" t="n">
        <v>5</v>
      </c>
    </row>
    <row r="136" customFormat="false" ht="15" hidden="false" customHeight="false" outlineLevel="0" collapsed="false">
      <c r="A136" s="2" t="s">
        <v>302</v>
      </c>
      <c r="B136" s="3" t="n">
        <v>45597</v>
      </c>
      <c r="C136" s="2" t="s">
        <v>303</v>
      </c>
      <c r="D136" s="2" t="s">
        <v>63</v>
      </c>
      <c r="E136" s="2" t="s">
        <v>64</v>
      </c>
      <c r="F136" s="2" t="s">
        <v>19</v>
      </c>
      <c r="G136" s="2" t="s">
        <v>30</v>
      </c>
      <c r="H136" s="2" t="s">
        <v>31</v>
      </c>
      <c r="I136" s="2" t="s">
        <v>32</v>
      </c>
      <c r="J136" s="4" t="n">
        <v>1</v>
      </c>
      <c r="K136" s="5" t="n">
        <v>3700</v>
      </c>
      <c r="L136" s="5" t="n">
        <f aca="false">J136*K136</f>
        <v>3700</v>
      </c>
      <c r="M136" s="2" t="s">
        <v>66</v>
      </c>
      <c r="N136" s="4" t="s">
        <v>24</v>
      </c>
      <c r="O136" s="2"/>
    </row>
    <row r="137" customFormat="false" ht="15" hidden="false" customHeight="false" outlineLevel="0" collapsed="false">
      <c r="A137" s="6" t="s">
        <v>304</v>
      </c>
      <c r="B137" s="7" t="n">
        <v>45540</v>
      </c>
      <c r="C137" s="6" t="s">
        <v>305</v>
      </c>
      <c r="D137" s="6" t="s">
        <v>76</v>
      </c>
      <c r="E137" s="6" t="s">
        <v>77</v>
      </c>
      <c r="F137" s="6" t="s">
        <v>48</v>
      </c>
      <c r="G137" s="6" t="s">
        <v>20</v>
      </c>
      <c r="H137" s="6" t="s">
        <v>38</v>
      </c>
      <c r="I137" s="6" t="s">
        <v>39</v>
      </c>
      <c r="J137" s="8" t="n">
        <v>5</v>
      </c>
      <c r="K137" s="9" t="n">
        <v>4600</v>
      </c>
      <c r="L137" s="9" t="n">
        <f aca="false">J137*K137</f>
        <v>23000</v>
      </c>
      <c r="M137" s="6" t="s">
        <v>23</v>
      </c>
      <c r="N137" s="8" t="s">
        <v>24</v>
      </c>
      <c r="O137" s="8" t="n">
        <v>4</v>
      </c>
    </row>
    <row r="138" customFormat="false" ht="15" hidden="false" customHeight="false" outlineLevel="0" collapsed="false">
      <c r="A138" s="2" t="s">
        <v>306</v>
      </c>
      <c r="B138" s="3" t="n">
        <v>45639</v>
      </c>
      <c r="C138" s="2" t="s">
        <v>307</v>
      </c>
      <c r="D138" s="2" t="s">
        <v>17</v>
      </c>
      <c r="E138" s="2" t="s">
        <v>18</v>
      </c>
      <c r="F138" s="2" t="s">
        <v>19</v>
      </c>
      <c r="G138" s="2" t="s">
        <v>20</v>
      </c>
      <c r="H138" s="2" t="s">
        <v>110</v>
      </c>
      <c r="I138" s="2" t="s">
        <v>22</v>
      </c>
      <c r="J138" s="4" t="n">
        <v>5</v>
      </c>
      <c r="K138" s="5" t="n">
        <v>200</v>
      </c>
      <c r="L138" s="5" t="n">
        <f aca="false">J138*K138</f>
        <v>1000</v>
      </c>
      <c r="M138" s="2" t="s">
        <v>23</v>
      </c>
      <c r="N138" s="4" t="s">
        <v>24</v>
      </c>
      <c r="O138" s="4" t="n">
        <v>3</v>
      </c>
    </row>
    <row r="139" customFormat="false" ht="15" hidden="false" customHeight="false" outlineLevel="0" collapsed="false">
      <c r="A139" s="6" t="s">
        <v>308</v>
      </c>
      <c r="B139" s="7" t="n">
        <v>45362</v>
      </c>
      <c r="C139" s="6" t="s">
        <v>309</v>
      </c>
      <c r="D139" s="6" t="s">
        <v>59</v>
      </c>
      <c r="E139" s="6" t="s">
        <v>47</v>
      </c>
      <c r="F139" s="6" t="s">
        <v>19</v>
      </c>
      <c r="G139" s="6" t="s">
        <v>54</v>
      </c>
      <c r="H139" s="6" t="s">
        <v>84</v>
      </c>
      <c r="I139" s="6" t="s">
        <v>32</v>
      </c>
      <c r="J139" s="8" t="n">
        <v>4</v>
      </c>
      <c r="K139" s="9" t="n">
        <v>1900</v>
      </c>
      <c r="L139" s="9" t="n">
        <f aca="false">J139*K139</f>
        <v>7600</v>
      </c>
      <c r="M139" s="6" t="s">
        <v>23</v>
      </c>
      <c r="N139" s="8" t="s">
        <v>24</v>
      </c>
      <c r="O139" s="8" t="n">
        <v>5</v>
      </c>
    </row>
    <row r="140" customFormat="false" ht="15" hidden="false" customHeight="false" outlineLevel="0" collapsed="false">
      <c r="A140" s="2" t="s">
        <v>310</v>
      </c>
      <c r="B140" s="3" t="n">
        <v>45409</v>
      </c>
      <c r="C140" s="2" t="s">
        <v>311</v>
      </c>
      <c r="D140" s="2" t="s">
        <v>59</v>
      </c>
      <c r="E140" s="2" t="s">
        <v>47</v>
      </c>
      <c r="F140" s="2" t="s">
        <v>19</v>
      </c>
      <c r="G140" s="2" t="s">
        <v>30</v>
      </c>
      <c r="H140" s="2" t="s">
        <v>69</v>
      </c>
      <c r="I140" s="2" t="s">
        <v>50</v>
      </c>
      <c r="J140" s="4" t="n">
        <v>1</v>
      </c>
      <c r="K140" s="5" t="n">
        <v>3200</v>
      </c>
      <c r="L140" s="5" t="n">
        <f aca="false">J140*K140</f>
        <v>3200</v>
      </c>
      <c r="M140" s="2" t="s">
        <v>23</v>
      </c>
      <c r="N140" s="4" t="s">
        <v>24</v>
      </c>
      <c r="O140" s="4" t="n">
        <v>3</v>
      </c>
    </row>
    <row r="141" customFormat="false" ht="15" hidden="false" customHeight="false" outlineLevel="0" collapsed="false">
      <c r="A141" s="6" t="s">
        <v>312</v>
      </c>
      <c r="B141" s="7" t="n">
        <v>45452</v>
      </c>
      <c r="C141" s="6" t="s">
        <v>313</v>
      </c>
      <c r="D141" s="6" t="s">
        <v>76</v>
      </c>
      <c r="E141" s="6" t="s">
        <v>77</v>
      </c>
      <c r="F141" s="6" t="s">
        <v>48</v>
      </c>
      <c r="G141" s="6" t="s">
        <v>20</v>
      </c>
      <c r="H141" s="6" t="s">
        <v>49</v>
      </c>
      <c r="I141" s="6" t="s">
        <v>50</v>
      </c>
      <c r="J141" s="8" t="n">
        <v>4</v>
      </c>
      <c r="K141" s="9" t="n">
        <v>1400</v>
      </c>
      <c r="L141" s="9" t="n">
        <f aca="false">J141*K141</f>
        <v>5600</v>
      </c>
      <c r="M141" s="6" t="s">
        <v>23</v>
      </c>
      <c r="N141" s="8" t="s">
        <v>24</v>
      </c>
      <c r="O141" s="8" t="n">
        <v>5</v>
      </c>
    </row>
    <row r="142" customFormat="false" ht="15" hidden="false" customHeight="false" outlineLevel="0" collapsed="false">
      <c r="A142" s="2" t="s">
        <v>314</v>
      </c>
      <c r="B142" s="3" t="n">
        <v>45527</v>
      </c>
      <c r="C142" s="2" t="s">
        <v>189</v>
      </c>
      <c r="D142" s="2" t="s">
        <v>76</v>
      </c>
      <c r="E142" s="2" t="s">
        <v>77</v>
      </c>
      <c r="F142" s="2" t="s">
        <v>19</v>
      </c>
      <c r="G142" s="2" t="s">
        <v>20</v>
      </c>
      <c r="H142" s="2" t="s">
        <v>110</v>
      </c>
      <c r="I142" s="2" t="s">
        <v>22</v>
      </c>
      <c r="J142" s="4" t="n">
        <v>5</v>
      </c>
      <c r="K142" s="5" t="n">
        <v>500</v>
      </c>
      <c r="L142" s="5" t="n">
        <f aca="false">J142*K142</f>
        <v>2500</v>
      </c>
      <c r="M142" s="2" t="s">
        <v>51</v>
      </c>
      <c r="N142" s="4" t="s">
        <v>24</v>
      </c>
      <c r="O142" s="2"/>
    </row>
    <row r="143" customFormat="false" ht="15" hidden="false" customHeight="false" outlineLevel="0" collapsed="false">
      <c r="A143" s="6" t="s">
        <v>315</v>
      </c>
      <c r="B143" s="7" t="n">
        <v>45450</v>
      </c>
      <c r="C143" s="6" t="s">
        <v>316</v>
      </c>
      <c r="D143" s="6" t="s">
        <v>59</v>
      </c>
      <c r="E143" s="6" t="s">
        <v>47</v>
      </c>
      <c r="F143" s="6" t="s">
        <v>19</v>
      </c>
      <c r="G143" s="6" t="s">
        <v>54</v>
      </c>
      <c r="H143" s="6" t="s">
        <v>88</v>
      </c>
      <c r="I143" s="6" t="s">
        <v>89</v>
      </c>
      <c r="J143" s="8" t="n">
        <v>1</v>
      </c>
      <c r="K143" s="9" t="n">
        <v>1300</v>
      </c>
      <c r="L143" s="9" t="n">
        <f aca="false">J143*K143</f>
        <v>1300</v>
      </c>
      <c r="M143" s="6" t="s">
        <v>51</v>
      </c>
      <c r="N143" s="8" t="s">
        <v>24</v>
      </c>
      <c r="O143" s="6"/>
    </row>
    <row r="144" customFormat="false" ht="15" hidden="false" customHeight="false" outlineLevel="0" collapsed="false">
      <c r="A144" s="2" t="s">
        <v>317</v>
      </c>
      <c r="B144" s="3" t="n">
        <v>45470</v>
      </c>
      <c r="C144" s="2" t="s">
        <v>318</v>
      </c>
      <c r="D144" s="2" t="s">
        <v>27</v>
      </c>
      <c r="E144" s="2" t="s">
        <v>28</v>
      </c>
      <c r="F144" s="2" t="s">
        <v>19</v>
      </c>
      <c r="G144" s="2" t="s">
        <v>20</v>
      </c>
      <c r="H144" s="2" t="s">
        <v>113</v>
      </c>
      <c r="I144" s="2" t="s">
        <v>114</v>
      </c>
      <c r="J144" s="4" t="n">
        <v>2</v>
      </c>
      <c r="K144" s="5" t="n">
        <v>1200</v>
      </c>
      <c r="L144" s="5" t="n">
        <f aca="false">J144*K144</f>
        <v>2400</v>
      </c>
      <c r="M144" s="2" t="s">
        <v>51</v>
      </c>
      <c r="N144" s="4" t="s">
        <v>24</v>
      </c>
      <c r="O144" s="2"/>
    </row>
    <row r="145" customFormat="false" ht="15" hidden="false" customHeight="false" outlineLevel="0" collapsed="false">
      <c r="A145" s="6" t="s">
        <v>319</v>
      </c>
      <c r="B145" s="7" t="n">
        <v>45627</v>
      </c>
      <c r="C145" s="6" t="s">
        <v>320</v>
      </c>
      <c r="D145" s="6" t="s">
        <v>36</v>
      </c>
      <c r="E145" s="6" t="s">
        <v>37</v>
      </c>
      <c r="F145" s="6" t="s">
        <v>48</v>
      </c>
      <c r="G145" s="6" t="s">
        <v>30</v>
      </c>
      <c r="H145" s="6" t="s">
        <v>38</v>
      </c>
      <c r="I145" s="6" t="s">
        <v>39</v>
      </c>
      <c r="J145" s="8" t="n">
        <v>5</v>
      </c>
      <c r="K145" s="9" t="n">
        <v>6700</v>
      </c>
      <c r="L145" s="9" t="n">
        <f aca="false">J145*K145</f>
        <v>33500</v>
      </c>
      <c r="M145" s="6" t="s">
        <v>33</v>
      </c>
      <c r="N145" s="8" t="s">
        <v>24</v>
      </c>
      <c r="O145" s="6"/>
    </row>
    <row r="146" customFormat="false" ht="15" hidden="false" customHeight="false" outlineLevel="0" collapsed="false">
      <c r="A146" s="2" t="s">
        <v>321</v>
      </c>
      <c r="B146" s="3" t="n">
        <v>45581</v>
      </c>
      <c r="C146" s="2" t="s">
        <v>53</v>
      </c>
      <c r="D146" s="2" t="s">
        <v>59</v>
      </c>
      <c r="E146" s="2" t="s">
        <v>47</v>
      </c>
      <c r="F146" s="2" t="s">
        <v>19</v>
      </c>
      <c r="G146" s="2" t="s">
        <v>30</v>
      </c>
      <c r="H146" s="2" t="s">
        <v>49</v>
      </c>
      <c r="I146" s="2" t="s">
        <v>50</v>
      </c>
      <c r="J146" s="4" t="n">
        <v>4</v>
      </c>
      <c r="K146" s="5" t="n">
        <v>2800</v>
      </c>
      <c r="L146" s="5" t="n">
        <f aca="false">J146*K146</f>
        <v>11200</v>
      </c>
      <c r="M146" s="2" t="s">
        <v>33</v>
      </c>
      <c r="N146" s="4" t="s">
        <v>24</v>
      </c>
      <c r="O146" s="2"/>
    </row>
    <row r="147" customFormat="false" ht="15" hidden="false" customHeight="false" outlineLevel="0" collapsed="false">
      <c r="A147" s="6" t="s">
        <v>322</v>
      </c>
      <c r="B147" s="7" t="n">
        <v>45432</v>
      </c>
      <c r="C147" s="6" t="s">
        <v>222</v>
      </c>
      <c r="D147" s="6" t="s">
        <v>59</v>
      </c>
      <c r="E147" s="6" t="s">
        <v>47</v>
      </c>
      <c r="F147" s="6" t="s">
        <v>29</v>
      </c>
      <c r="G147" s="6" t="s">
        <v>54</v>
      </c>
      <c r="H147" s="6" t="s">
        <v>113</v>
      </c>
      <c r="I147" s="6" t="s">
        <v>114</v>
      </c>
      <c r="J147" s="8" t="n">
        <v>4</v>
      </c>
      <c r="K147" s="9" t="n">
        <v>2100</v>
      </c>
      <c r="L147" s="9" t="n">
        <f aca="false">J147*K147</f>
        <v>8400</v>
      </c>
      <c r="M147" s="6" t="s">
        <v>23</v>
      </c>
      <c r="N147" s="8" t="s">
        <v>24</v>
      </c>
      <c r="O147" s="8" t="n">
        <v>4</v>
      </c>
    </row>
    <row r="148" customFormat="false" ht="15" hidden="false" customHeight="false" outlineLevel="0" collapsed="false">
      <c r="A148" s="2" t="s">
        <v>323</v>
      </c>
      <c r="B148" s="3" t="n">
        <v>45331</v>
      </c>
      <c r="C148" s="2" t="s">
        <v>62</v>
      </c>
      <c r="D148" s="2" t="s">
        <v>76</v>
      </c>
      <c r="E148" s="2" t="s">
        <v>77</v>
      </c>
      <c r="F148" s="2" t="s">
        <v>48</v>
      </c>
      <c r="G148" s="2" t="s">
        <v>30</v>
      </c>
      <c r="H148" s="2" t="s">
        <v>88</v>
      </c>
      <c r="I148" s="2" t="s">
        <v>89</v>
      </c>
      <c r="J148" s="4" t="n">
        <v>1</v>
      </c>
      <c r="K148" s="5" t="n">
        <v>1200</v>
      </c>
      <c r="L148" s="5" t="n">
        <f aca="false">J148*K148</f>
        <v>1200</v>
      </c>
      <c r="M148" s="2" t="s">
        <v>40</v>
      </c>
      <c r="N148" s="4" t="s">
        <v>41</v>
      </c>
      <c r="O148" s="2"/>
    </row>
    <row r="149" customFormat="false" ht="15" hidden="false" customHeight="false" outlineLevel="0" collapsed="false">
      <c r="A149" s="6" t="s">
        <v>324</v>
      </c>
      <c r="B149" s="7" t="n">
        <v>45584</v>
      </c>
      <c r="C149" s="6" t="s">
        <v>325</v>
      </c>
      <c r="D149" s="6" t="s">
        <v>36</v>
      </c>
      <c r="E149" s="6" t="s">
        <v>37</v>
      </c>
      <c r="F149" s="6" t="s">
        <v>29</v>
      </c>
      <c r="G149" s="6" t="s">
        <v>20</v>
      </c>
      <c r="H149" s="6" t="s">
        <v>31</v>
      </c>
      <c r="I149" s="6" t="s">
        <v>32</v>
      </c>
      <c r="J149" s="8" t="n">
        <v>4</v>
      </c>
      <c r="K149" s="9" t="n">
        <v>3200</v>
      </c>
      <c r="L149" s="9" t="n">
        <f aca="false">J149*K149</f>
        <v>12800</v>
      </c>
      <c r="M149" s="6" t="s">
        <v>40</v>
      </c>
      <c r="N149" s="8" t="s">
        <v>41</v>
      </c>
      <c r="O149" s="6"/>
    </row>
    <row r="150" customFormat="false" ht="15" hidden="false" customHeight="false" outlineLevel="0" collapsed="false">
      <c r="A150" s="2" t="s">
        <v>326</v>
      </c>
      <c r="B150" s="3" t="n">
        <v>45467</v>
      </c>
      <c r="C150" s="2" t="s">
        <v>327</v>
      </c>
      <c r="D150" s="2" t="s">
        <v>63</v>
      </c>
      <c r="E150" s="2" t="s">
        <v>64</v>
      </c>
      <c r="F150" s="2" t="s">
        <v>19</v>
      </c>
      <c r="G150" s="2" t="s">
        <v>20</v>
      </c>
      <c r="H150" s="2" t="s">
        <v>128</v>
      </c>
      <c r="I150" s="2" t="s">
        <v>129</v>
      </c>
      <c r="J150" s="4" t="n">
        <v>4</v>
      </c>
      <c r="K150" s="5" t="n">
        <v>400</v>
      </c>
      <c r="L150" s="5" t="n">
        <f aca="false">J150*K150</f>
        <v>1600</v>
      </c>
      <c r="M150" s="2" t="s">
        <v>51</v>
      </c>
      <c r="N150" s="4" t="s">
        <v>24</v>
      </c>
      <c r="O150" s="2"/>
    </row>
    <row r="151" customFormat="false" ht="15" hidden="false" customHeight="false" outlineLevel="0" collapsed="false">
      <c r="A151" s="6" t="s">
        <v>328</v>
      </c>
      <c r="B151" s="7" t="n">
        <v>45373</v>
      </c>
      <c r="C151" s="6" t="s">
        <v>329</v>
      </c>
      <c r="D151" s="6" t="s">
        <v>17</v>
      </c>
      <c r="E151" s="6" t="s">
        <v>18</v>
      </c>
      <c r="F151" s="6" t="s">
        <v>48</v>
      </c>
      <c r="G151" s="6" t="s">
        <v>30</v>
      </c>
      <c r="H151" s="6" t="s">
        <v>38</v>
      </c>
      <c r="I151" s="6" t="s">
        <v>39</v>
      </c>
      <c r="J151" s="8" t="n">
        <v>3</v>
      </c>
      <c r="K151" s="9" t="n">
        <v>8200</v>
      </c>
      <c r="L151" s="9" t="n">
        <f aca="false">J151*K151</f>
        <v>24600</v>
      </c>
      <c r="M151" s="6" t="s">
        <v>51</v>
      </c>
      <c r="N151" s="8" t="s">
        <v>24</v>
      </c>
      <c r="O151" s="6"/>
    </row>
    <row r="152" customFormat="false" ht="15" hidden="false" customHeight="false" outlineLevel="0" collapsed="false">
      <c r="A152" s="2" t="s">
        <v>330</v>
      </c>
      <c r="B152" s="3" t="n">
        <v>45615</v>
      </c>
      <c r="C152" s="2" t="s">
        <v>83</v>
      </c>
      <c r="D152" s="2" t="s">
        <v>59</v>
      </c>
      <c r="E152" s="2" t="s">
        <v>47</v>
      </c>
      <c r="F152" s="2" t="s">
        <v>19</v>
      </c>
      <c r="G152" s="2" t="s">
        <v>30</v>
      </c>
      <c r="H152" s="2" t="s">
        <v>55</v>
      </c>
      <c r="I152" s="2" t="s">
        <v>56</v>
      </c>
      <c r="J152" s="4" t="n">
        <v>4</v>
      </c>
      <c r="K152" s="5" t="n">
        <v>1700</v>
      </c>
      <c r="L152" s="5" t="n">
        <f aca="false">J152*K152</f>
        <v>6800</v>
      </c>
      <c r="M152" s="2" t="s">
        <v>23</v>
      </c>
      <c r="N152" s="4" t="s">
        <v>24</v>
      </c>
      <c r="O152" s="4" t="n">
        <v>5</v>
      </c>
    </row>
    <row r="153" customFormat="false" ht="15" hidden="false" customHeight="false" outlineLevel="0" collapsed="false">
      <c r="A153" s="6" t="s">
        <v>331</v>
      </c>
      <c r="B153" s="7" t="n">
        <v>45600</v>
      </c>
      <c r="C153" s="6" t="s">
        <v>332</v>
      </c>
      <c r="D153" s="6" t="s">
        <v>87</v>
      </c>
      <c r="E153" s="6" t="s">
        <v>87</v>
      </c>
      <c r="F153" s="6" t="s">
        <v>29</v>
      </c>
      <c r="G153" s="6" t="s">
        <v>30</v>
      </c>
      <c r="H153" s="6" t="s">
        <v>21</v>
      </c>
      <c r="I153" s="6" t="s">
        <v>22</v>
      </c>
      <c r="J153" s="8" t="n">
        <v>3</v>
      </c>
      <c r="K153" s="9" t="n">
        <v>800</v>
      </c>
      <c r="L153" s="9" t="n">
        <f aca="false">J153*K153</f>
        <v>2400</v>
      </c>
      <c r="M153" s="6" t="s">
        <v>33</v>
      </c>
      <c r="N153" s="8" t="s">
        <v>24</v>
      </c>
      <c r="O153" s="6"/>
    </row>
    <row r="154" customFormat="false" ht="15" hidden="false" customHeight="false" outlineLevel="0" collapsed="false">
      <c r="A154" s="2" t="s">
        <v>333</v>
      </c>
      <c r="B154" s="3" t="n">
        <v>45492</v>
      </c>
      <c r="C154" s="2" t="s">
        <v>101</v>
      </c>
      <c r="D154" s="2" t="s">
        <v>87</v>
      </c>
      <c r="E154" s="2" t="s">
        <v>87</v>
      </c>
      <c r="F154" s="2" t="s">
        <v>48</v>
      </c>
      <c r="G154" s="2" t="s">
        <v>30</v>
      </c>
      <c r="H154" s="2" t="s">
        <v>110</v>
      </c>
      <c r="I154" s="2" t="s">
        <v>22</v>
      </c>
      <c r="J154" s="4" t="n">
        <v>3</v>
      </c>
      <c r="K154" s="5" t="n">
        <v>800</v>
      </c>
      <c r="L154" s="5" t="n">
        <f aca="false">J154*K154</f>
        <v>2400</v>
      </c>
      <c r="M154" s="2" t="s">
        <v>23</v>
      </c>
      <c r="N154" s="4" t="s">
        <v>24</v>
      </c>
      <c r="O154" s="4" t="n">
        <v>5</v>
      </c>
    </row>
    <row r="155" customFormat="false" ht="15" hidden="false" customHeight="false" outlineLevel="0" collapsed="false">
      <c r="A155" s="6" t="s">
        <v>334</v>
      </c>
      <c r="B155" s="7" t="n">
        <v>45642</v>
      </c>
      <c r="C155" s="6" t="s">
        <v>335</v>
      </c>
      <c r="D155" s="6" t="s">
        <v>76</v>
      </c>
      <c r="E155" s="6" t="s">
        <v>77</v>
      </c>
      <c r="F155" s="6" t="s">
        <v>29</v>
      </c>
      <c r="G155" s="6" t="s">
        <v>20</v>
      </c>
      <c r="H155" s="6" t="s">
        <v>31</v>
      </c>
      <c r="I155" s="6" t="s">
        <v>32</v>
      </c>
      <c r="J155" s="8" t="n">
        <v>3</v>
      </c>
      <c r="K155" s="9" t="n">
        <v>3800</v>
      </c>
      <c r="L155" s="9" t="n">
        <f aca="false">J155*K155</f>
        <v>11400</v>
      </c>
      <c r="M155" s="6" t="s">
        <v>23</v>
      </c>
      <c r="N155" s="8" t="s">
        <v>24</v>
      </c>
      <c r="O155" s="8" t="n">
        <v>4</v>
      </c>
    </row>
    <row r="156" customFormat="false" ht="15" hidden="false" customHeight="false" outlineLevel="0" collapsed="false">
      <c r="A156" s="2" t="s">
        <v>336</v>
      </c>
      <c r="B156" s="3" t="n">
        <v>45540</v>
      </c>
      <c r="C156" s="2" t="s">
        <v>136</v>
      </c>
      <c r="D156" s="2" t="s">
        <v>63</v>
      </c>
      <c r="E156" s="2" t="s">
        <v>64</v>
      </c>
      <c r="F156" s="2" t="s">
        <v>19</v>
      </c>
      <c r="G156" s="2" t="s">
        <v>54</v>
      </c>
      <c r="H156" s="2" t="s">
        <v>113</v>
      </c>
      <c r="I156" s="2" t="s">
        <v>114</v>
      </c>
      <c r="J156" s="4" t="n">
        <v>1</v>
      </c>
      <c r="K156" s="5" t="n">
        <v>2300</v>
      </c>
      <c r="L156" s="5" t="n">
        <f aca="false">J156*K156</f>
        <v>2300</v>
      </c>
      <c r="M156" s="2" t="s">
        <v>40</v>
      </c>
      <c r="N156" s="4" t="s">
        <v>41</v>
      </c>
      <c r="O156" s="2"/>
    </row>
    <row r="157" customFormat="false" ht="15" hidden="false" customHeight="false" outlineLevel="0" collapsed="false">
      <c r="A157" s="6" t="s">
        <v>337</v>
      </c>
      <c r="B157" s="7" t="n">
        <v>45568</v>
      </c>
      <c r="C157" s="6" t="s">
        <v>91</v>
      </c>
      <c r="D157" s="6" t="s">
        <v>59</v>
      </c>
      <c r="E157" s="6" t="s">
        <v>47</v>
      </c>
      <c r="F157" s="6" t="s">
        <v>29</v>
      </c>
      <c r="G157" s="6" t="s">
        <v>20</v>
      </c>
      <c r="H157" s="6" t="s">
        <v>144</v>
      </c>
      <c r="I157" s="6" t="s">
        <v>114</v>
      </c>
      <c r="J157" s="8" t="n">
        <v>4</v>
      </c>
      <c r="K157" s="9" t="n">
        <v>1300</v>
      </c>
      <c r="L157" s="9" t="n">
        <f aca="false">J157*K157</f>
        <v>5200</v>
      </c>
      <c r="M157" s="6" t="s">
        <v>23</v>
      </c>
      <c r="N157" s="8" t="s">
        <v>24</v>
      </c>
      <c r="O157" s="8" t="n">
        <v>5</v>
      </c>
    </row>
    <row r="158" customFormat="false" ht="15" hidden="false" customHeight="false" outlineLevel="0" collapsed="false">
      <c r="A158" s="2" t="s">
        <v>338</v>
      </c>
      <c r="B158" s="3" t="n">
        <v>45611</v>
      </c>
      <c r="C158" s="2" t="s">
        <v>339</v>
      </c>
      <c r="D158" s="2" t="s">
        <v>46</v>
      </c>
      <c r="E158" s="2" t="s">
        <v>47</v>
      </c>
      <c r="F158" s="2" t="s">
        <v>48</v>
      </c>
      <c r="G158" s="2" t="s">
        <v>20</v>
      </c>
      <c r="H158" s="2" t="s">
        <v>55</v>
      </c>
      <c r="I158" s="2" t="s">
        <v>56</v>
      </c>
      <c r="J158" s="4" t="n">
        <v>2</v>
      </c>
      <c r="K158" s="5" t="n">
        <v>2200</v>
      </c>
      <c r="L158" s="5" t="n">
        <f aca="false">J158*K158</f>
        <v>4400</v>
      </c>
      <c r="M158" s="2" t="s">
        <v>51</v>
      </c>
      <c r="N158" s="4" t="s">
        <v>24</v>
      </c>
      <c r="O158" s="2"/>
    </row>
    <row r="159" customFormat="false" ht="15" hidden="false" customHeight="false" outlineLevel="0" collapsed="false">
      <c r="A159" s="6" t="s">
        <v>340</v>
      </c>
      <c r="B159" s="7" t="n">
        <v>45521</v>
      </c>
      <c r="C159" s="6" t="s">
        <v>210</v>
      </c>
      <c r="D159" s="6" t="s">
        <v>27</v>
      </c>
      <c r="E159" s="6" t="s">
        <v>28</v>
      </c>
      <c r="F159" s="6" t="s">
        <v>48</v>
      </c>
      <c r="G159" s="6" t="s">
        <v>30</v>
      </c>
      <c r="H159" s="6" t="s">
        <v>72</v>
      </c>
      <c r="I159" s="6" t="s">
        <v>73</v>
      </c>
      <c r="J159" s="8" t="n">
        <v>2</v>
      </c>
      <c r="K159" s="9" t="n">
        <v>1500</v>
      </c>
      <c r="L159" s="9" t="n">
        <f aca="false">J159*K159</f>
        <v>3000</v>
      </c>
      <c r="M159" s="6" t="s">
        <v>33</v>
      </c>
      <c r="N159" s="8" t="s">
        <v>24</v>
      </c>
      <c r="O159" s="6"/>
    </row>
    <row r="160" customFormat="false" ht="15" hidden="false" customHeight="false" outlineLevel="0" collapsed="false">
      <c r="A160" s="2" t="s">
        <v>341</v>
      </c>
      <c r="B160" s="3" t="n">
        <v>45517</v>
      </c>
      <c r="C160" s="2" t="s">
        <v>342</v>
      </c>
      <c r="D160" s="2" t="s">
        <v>76</v>
      </c>
      <c r="E160" s="2" t="s">
        <v>77</v>
      </c>
      <c r="F160" s="2" t="s">
        <v>29</v>
      </c>
      <c r="G160" s="2" t="s">
        <v>30</v>
      </c>
      <c r="H160" s="2" t="s">
        <v>110</v>
      </c>
      <c r="I160" s="2" t="s">
        <v>22</v>
      </c>
      <c r="J160" s="4" t="n">
        <v>2</v>
      </c>
      <c r="K160" s="5" t="n">
        <v>800</v>
      </c>
      <c r="L160" s="5" t="n">
        <f aca="false">J160*K160</f>
        <v>1600</v>
      </c>
      <c r="M160" s="2" t="s">
        <v>23</v>
      </c>
      <c r="N160" s="4" t="s">
        <v>24</v>
      </c>
      <c r="O160" s="4" t="n">
        <v>3</v>
      </c>
    </row>
    <row r="161" customFormat="false" ht="15" hidden="false" customHeight="false" outlineLevel="0" collapsed="false">
      <c r="A161" s="6" t="s">
        <v>343</v>
      </c>
      <c r="B161" s="7" t="n">
        <v>45420</v>
      </c>
      <c r="C161" s="6" t="s">
        <v>140</v>
      </c>
      <c r="D161" s="6" t="s">
        <v>59</v>
      </c>
      <c r="E161" s="6" t="s">
        <v>47</v>
      </c>
      <c r="F161" s="6" t="s">
        <v>29</v>
      </c>
      <c r="G161" s="6" t="s">
        <v>54</v>
      </c>
      <c r="H161" s="6" t="s">
        <v>128</v>
      </c>
      <c r="I161" s="6" t="s">
        <v>129</v>
      </c>
      <c r="J161" s="8" t="n">
        <v>5</v>
      </c>
      <c r="K161" s="9" t="n">
        <v>100</v>
      </c>
      <c r="L161" s="9" t="n">
        <f aca="false">J161*K161</f>
        <v>500</v>
      </c>
      <c r="M161" s="6" t="s">
        <v>23</v>
      </c>
      <c r="N161" s="8" t="s">
        <v>24</v>
      </c>
      <c r="O161" s="8" t="n">
        <v>3</v>
      </c>
    </row>
    <row r="162" customFormat="false" ht="15" hidden="false" customHeight="false" outlineLevel="0" collapsed="false">
      <c r="A162" s="2" t="s">
        <v>344</v>
      </c>
      <c r="B162" s="3" t="n">
        <v>45431</v>
      </c>
      <c r="C162" s="2" t="s">
        <v>345</v>
      </c>
      <c r="D162" s="2" t="s">
        <v>63</v>
      </c>
      <c r="E162" s="2" t="s">
        <v>64</v>
      </c>
      <c r="F162" s="2" t="s">
        <v>48</v>
      </c>
      <c r="G162" s="2" t="s">
        <v>54</v>
      </c>
      <c r="H162" s="2" t="s">
        <v>72</v>
      </c>
      <c r="I162" s="2" t="s">
        <v>73</v>
      </c>
      <c r="J162" s="4" t="n">
        <v>2</v>
      </c>
      <c r="K162" s="5" t="n">
        <v>1800</v>
      </c>
      <c r="L162" s="5" t="n">
        <f aca="false">J162*K162</f>
        <v>3600</v>
      </c>
      <c r="M162" s="2" t="s">
        <v>23</v>
      </c>
      <c r="N162" s="4" t="s">
        <v>24</v>
      </c>
      <c r="O162" s="4" t="n">
        <v>4</v>
      </c>
    </row>
    <row r="163" customFormat="false" ht="15" hidden="false" customHeight="false" outlineLevel="0" collapsed="false">
      <c r="A163" s="6" t="s">
        <v>346</v>
      </c>
      <c r="B163" s="7" t="n">
        <v>45319</v>
      </c>
      <c r="C163" s="6" t="s">
        <v>347</v>
      </c>
      <c r="D163" s="6" t="s">
        <v>59</v>
      </c>
      <c r="E163" s="6" t="s">
        <v>47</v>
      </c>
      <c r="F163" s="6" t="s">
        <v>19</v>
      </c>
      <c r="G163" s="6" t="s">
        <v>30</v>
      </c>
      <c r="H163" s="6" t="s">
        <v>49</v>
      </c>
      <c r="I163" s="6" t="s">
        <v>50</v>
      </c>
      <c r="J163" s="8" t="n">
        <v>3</v>
      </c>
      <c r="K163" s="9" t="n">
        <v>2100</v>
      </c>
      <c r="L163" s="9" t="n">
        <f aca="false">J163*K163</f>
        <v>6300</v>
      </c>
      <c r="M163" s="6" t="s">
        <v>23</v>
      </c>
      <c r="N163" s="8" t="s">
        <v>24</v>
      </c>
      <c r="O163" s="8" t="n">
        <v>3</v>
      </c>
    </row>
    <row r="164" customFormat="false" ht="15" hidden="false" customHeight="false" outlineLevel="0" collapsed="false">
      <c r="A164" s="2" t="s">
        <v>348</v>
      </c>
      <c r="B164" s="3" t="n">
        <v>45624</v>
      </c>
      <c r="C164" s="2" t="s">
        <v>349</v>
      </c>
      <c r="D164" s="2" t="s">
        <v>63</v>
      </c>
      <c r="E164" s="2" t="s">
        <v>64</v>
      </c>
      <c r="F164" s="2" t="s">
        <v>19</v>
      </c>
      <c r="G164" s="2" t="s">
        <v>20</v>
      </c>
      <c r="H164" s="2" t="s">
        <v>72</v>
      </c>
      <c r="I164" s="2" t="s">
        <v>73</v>
      </c>
      <c r="J164" s="4" t="n">
        <v>4</v>
      </c>
      <c r="K164" s="5" t="n">
        <v>800</v>
      </c>
      <c r="L164" s="5" t="n">
        <f aca="false">J164*K164</f>
        <v>3200</v>
      </c>
      <c r="M164" s="2" t="s">
        <v>40</v>
      </c>
      <c r="N164" s="4" t="s">
        <v>41</v>
      </c>
      <c r="O164" s="2"/>
    </row>
    <row r="165" customFormat="false" ht="15" hidden="false" customHeight="false" outlineLevel="0" collapsed="false">
      <c r="A165" s="6" t="s">
        <v>350</v>
      </c>
      <c r="B165" s="7" t="n">
        <v>45653</v>
      </c>
      <c r="C165" s="6" t="s">
        <v>192</v>
      </c>
      <c r="D165" s="6" t="s">
        <v>46</v>
      </c>
      <c r="E165" s="6" t="s">
        <v>47</v>
      </c>
      <c r="F165" s="6" t="s">
        <v>19</v>
      </c>
      <c r="G165" s="6" t="s">
        <v>54</v>
      </c>
      <c r="H165" s="6" t="s">
        <v>113</v>
      </c>
      <c r="I165" s="6" t="s">
        <v>114</v>
      </c>
      <c r="J165" s="8" t="n">
        <v>2</v>
      </c>
      <c r="K165" s="9" t="n">
        <v>1100</v>
      </c>
      <c r="L165" s="9" t="n">
        <f aca="false">J165*K165</f>
        <v>2200</v>
      </c>
      <c r="M165" s="6" t="s">
        <v>51</v>
      </c>
      <c r="N165" s="8" t="s">
        <v>24</v>
      </c>
      <c r="O165" s="6"/>
    </row>
    <row r="166" customFormat="false" ht="15" hidden="false" customHeight="false" outlineLevel="0" collapsed="false">
      <c r="A166" s="2" t="s">
        <v>351</v>
      </c>
      <c r="B166" s="3" t="n">
        <v>45603</v>
      </c>
      <c r="C166" s="2" t="s">
        <v>352</v>
      </c>
      <c r="D166" s="2" t="s">
        <v>87</v>
      </c>
      <c r="E166" s="2" t="s">
        <v>87</v>
      </c>
      <c r="F166" s="2" t="s">
        <v>48</v>
      </c>
      <c r="G166" s="2" t="s">
        <v>20</v>
      </c>
      <c r="H166" s="2" t="s">
        <v>113</v>
      </c>
      <c r="I166" s="2" t="s">
        <v>114</v>
      </c>
      <c r="J166" s="4" t="n">
        <v>1</v>
      </c>
      <c r="K166" s="5" t="n">
        <v>800</v>
      </c>
      <c r="L166" s="5" t="n">
        <f aca="false">J166*K166</f>
        <v>800</v>
      </c>
      <c r="M166" s="2" t="s">
        <v>23</v>
      </c>
      <c r="N166" s="4" t="s">
        <v>24</v>
      </c>
      <c r="O166" s="4" t="n">
        <v>5</v>
      </c>
    </row>
    <row r="167" customFormat="false" ht="15" hidden="false" customHeight="false" outlineLevel="0" collapsed="false">
      <c r="A167" s="6" t="s">
        <v>353</v>
      </c>
      <c r="B167" s="7" t="n">
        <v>45526</v>
      </c>
      <c r="C167" s="6" t="s">
        <v>292</v>
      </c>
      <c r="D167" s="6" t="s">
        <v>36</v>
      </c>
      <c r="E167" s="6" t="s">
        <v>37</v>
      </c>
      <c r="F167" s="6" t="s">
        <v>29</v>
      </c>
      <c r="G167" s="6" t="s">
        <v>30</v>
      </c>
      <c r="H167" s="6" t="s">
        <v>31</v>
      </c>
      <c r="I167" s="6" t="s">
        <v>32</v>
      </c>
      <c r="J167" s="8" t="n">
        <v>5</v>
      </c>
      <c r="K167" s="9" t="n">
        <v>4700</v>
      </c>
      <c r="L167" s="9" t="n">
        <f aca="false">J167*K167</f>
        <v>23500</v>
      </c>
      <c r="M167" s="6" t="s">
        <v>23</v>
      </c>
      <c r="N167" s="8" t="s">
        <v>24</v>
      </c>
      <c r="O167" s="8" t="n">
        <v>4</v>
      </c>
    </row>
    <row r="168" customFormat="false" ht="15" hidden="false" customHeight="false" outlineLevel="0" collapsed="false">
      <c r="A168" s="2" t="s">
        <v>354</v>
      </c>
      <c r="B168" s="3" t="n">
        <v>45511</v>
      </c>
      <c r="C168" s="2" t="s">
        <v>355</v>
      </c>
      <c r="D168" s="2" t="s">
        <v>59</v>
      </c>
      <c r="E168" s="2" t="s">
        <v>47</v>
      </c>
      <c r="F168" s="2" t="s">
        <v>19</v>
      </c>
      <c r="G168" s="2" t="s">
        <v>30</v>
      </c>
      <c r="H168" s="2" t="s">
        <v>110</v>
      </c>
      <c r="I168" s="2" t="s">
        <v>22</v>
      </c>
      <c r="J168" s="4" t="n">
        <v>2</v>
      </c>
      <c r="K168" s="5" t="n">
        <v>700</v>
      </c>
      <c r="L168" s="5" t="n">
        <f aca="false">J168*K168</f>
        <v>1400</v>
      </c>
      <c r="M168" s="2" t="s">
        <v>33</v>
      </c>
      <c r="N168" s="4" t="s">
        <v>24</v>
      </c>
      <c r="O168" s="2"/>
    </row>
    <row r="169" customFormat="false" ht="15" hidden="false" customHeight="false" outlineLevel="0" collapsed="false">
      <c r="A169" s="6" t="s">
        <v>356</v>
      </c>
      <c r="B169" s="7" t="n">
        <v>45476</v>
      </c>
      <c r="C169" s="6" t="s">
        <v>327</v>
      </c>
      <c r="D169" s="6" t="s">
        <v>46</v>
      </c>
      <c r="E169" s="6" t="s">
        <v>47</v>
      </c>
      <c r="F169" s="6" t="s">
        <v>48</v>
      </c>
      <c r="G169" s="6" t="s">
        <v>30</v>
      </c>
      <c r="H169" s="6" t="s">
        <v>31</v>
      </c>
      <c r="I169" s="6" t="s">
        <v>32</v>
      </c>
      <c r="J169" s="8" t="n">
        <v>4</v>
      </c>
      <c r="K169" s="9" t="n">
        <v>4000</v>
      </c>
      <c r="L169" s="9" t="n">
        <f aca="false">J169*K169</f>
        <v>16000</v>
      </c>
      <c r="M169" s="6" t="s">
        <v>23</v>
      </c>
      <c r="N169" s="8" t="s">
        <v>24</v>
      </c>
      <c r="O169" s="8" t="n">
        <v>4</v>
      </c>
    </row>
    <row r="170" customFormat="false" ht="15" hidden="false" customHeight="false" outlineLevel="0" collapsed="false">
      <c r="A170" s="2" t="s">
        <v>357</v>
      </c>
      <c r="B170" s="3" t="n">
        <v>45326</v>
      </c>
      <c r="C170" s="2" t="s">
        <v>358</v>
      </c>
      <c r="D170" s="2" t="s">
        <v>87</v>
      </c>
      <c r="E170" s="2" t="s">
        <v>87</v>
      </c>
      <c r="F170" s="2" t="s">
        <v>29</v>
      </c>
      <c r="G170" s="2" t="s">
        <v>30</v>
      </c>
      <c r="H170" s="2" t="s">
        <v>38</v>
      </c>
      <c r="I170" s="2" t="s">
        <v>39</v>
      </c>
      <c r="J170" s="4" t="n">
        <v>3</v>
      </c>
      <c r="K170" s="5" t="n">
        <v>4700</v>
      </c>
      <c r="L170" s="5" t="n">
        <f aca="false">J170*K170</f>
        <v>14100</v>
      </c>
      <c r="M170" s="2" t="s">
        <v>23</v>
      </c>
      <c r="N170" s="4" t="s">
        <v>24</v>
      </c>
      <c r="O170" s="4" t="n">
        <v>4</v>
      </c>
    </row>
    <row r="171" customFormat="false" ht="15" hidden="false" customHeight="false" outlineLevel="0" collapsed="false">
      <c r="A171" s="6" t="s">
        <v>359</v>
      </c>
      <c r="B171" s="7" t="n">
        <v>45621</v>
      </c>
      <c r="C171" s="6" t="s">
        <v>339</v>
      </c>
      <c r="D171" s="6" t="s">
        <v>36</v>
      </c>
      <c r="E171" s="6" t="s">
        <v>37</v>
      </c>
      <c r="F171" s="6" t="s">
        <v>19</v>
      </c>
      <c r="G171" s="6" t="s">
        <v>20</v>
      </c>
      <c r="H171" s="6" t="s">
        <v>49</v>
      </c>
      <c r="I171" s="6" t="s">
        <v>50</v>
      </c>
      <c r="J171" s="8" t="n">
        <v>4</v>
      </c>
      <c r="K171" s="9" t="n">
        <v>1500</v>
      </c>
      <c r="L171" s="9" t="n">
        <f aca="false">J171*K171</f>
        <v>6000</v>
      </c>
      <c r="M171" s="6" t="s">
        <v>23</v>
      </c>
      <c r="N171" s="8" t="s">
        <v>24</v>
      </c>
      <c r="O171" s="8" t="n">
        <v>3</v>
      </c>
    </row>
    <row r="172" customFormat="false" ht="15" hidden="false" customHeight="false" outlineLevel="0" collapsed="false">
      <c r="A172" s="2" t="s">
        <v>360</v>
      </c>
      <c r="B172" s="3" t="n">
        <v>45313</v>
      </c>
      <c r="C172" s="2" t="s">
        <v>142</v>
      </c>
      <c r="D172" s="2" t="s">
        <v>76</v>
      </c>
      <c r="E172" s="2" t="s">
        <v>77</v>
      </c>
      <c r="F172" s="2" t="s">
        <v>29</v>
      </c>
      <c r="G172" s="2" t="s">
        <v>30</v>
      </c>
      <c r="H172" s="2" t="s">
        <v>113</v>
      </c>
      <c r="I172" s="2" t="s">
        <v>114</v>
      </c>
      <c r="J172" s="4" t="n">
        <v>1</v>
      </c>
      <c r="K172" s="5" t="n">
        <v>1300</v>
      </c>
      <c r="L172" s="5" t="n">
        <f aca="false">J172*K172</f>
        <v>1300</v>
      </c>
      <c r="M172" s="2" t="s">
        <v>23</v>
      </c>
      <c r="N172" s="4" t="s">
        <v>24</v>
      </c>
      <c r="O172" s="4" t="n">
        <v>3</v>
      </c>
    </row>
    <row r="173" customFormat="false" ht="15" hidden="false" customHeight="false" outlineLevel="0" collapsed="false">
      <c r="A173" s="6" t="s">
        <v>361</v>
      </c>
      <c r="B173" s="7" t="n">
        <v>45627</v>
      </c>
      <c r="C173" s="6" t="s">
        <v>142</v>
      </c>
      <c r="D173" s="6" t="s">
        <v>87</v>
      </c>
      <c r="E173" s="6" t="s">
        <v>87</v>
      </c>
      <c r="F173" s="6" t="s">
        <v>48</v>
      </c>
      <c r="G173" s="6" t="s">
        <v>30</v>
      </c>
      <c r="H173" s="6" t="s">
        <v>72</v>
      </c>
      <c r="I173" s="6" t="s">
        <v>73</v>
      </c>
      <c r="J173" s="8" t="n">
        <v>4</v>
      </c>
      <c r="K173" s="9" t="n">
        <v>1800</v>
      </c>
      <c r="L173" s="9" t="n">
        <f aca="false">J173*K173</f>
        <v>7200</v>
      </c>
      <c r="M173" s="6" t="s">
        <v>66</v>
      </c>
      <c r="N173" s="8" t="s">
        <v>24</v>
      </c>
      <c r="O173" s="6"/>
    </row>
    <row r="174" customFormat="false" ht="15" hidden="false" customHeight="false" outlineLevel="0" collapsed="false">
      <c r="A174" s="2" t="s">
        <v>362</v>
      </c>
      <c r="B174" s="3" t="n">
        <v>45387</v>
      </c>
      <c r="C174" s="2" t="s">
        <v>192</v>
      </c>
      <c r="D174" s="2" t="s">
        <v>59</v>
      </c>
      <c r="E174" s="2" t="s">
        <v>47</v>
      </c>
      <c r="F174" s="2" t="s">
        <v>29</v>
      </c>
      <c r="G174" s="2" t="s">
        <v>20</v>
      </c>
      <c r="H174" s="2" t="s">
        <v>38</v>
      </c>
      <c r="I174" s="2" t="s">
        <v>39</v>
      </c>
      <c r="J174" s="4" t="n">
        <v>1</v>
      </c>
      <c r="K174" s="5" t="n">
        <v>8500</v>
      </c>
      <c r="L174" s="5" t="n">
        <f aca="false">J174*K174</f>
        <v>8500</v>
      </c>
      <c r="M174" s="2" t="s">
        <v>66</v>
      </c>
      <c r="N174" s="4" t="s">
        <v>24</v>
      </c>
      <c r="O174" s="2"/>
    </row>
    <row r="175" customFormat="false" ht="15" hidden="false" customHeight="false" outlineLevel="0" collapsed="false">
      <c r="A175" s="6" t="s">
        <v>363</v>
      </c>
      <c r="B175" s="7" t="n">
        <v>45600</v>
      </c>
      <c r="C175" s="6" t="s">
        <v>86</v>
      </c>
      <c r="D175" s="6" t="s">
        <v>17</v>
      </c>
      <c r="E175" s="6" t="s">
        <v>18</v>
      </c>
      <c r="F175" s="6" t="s">
        <v>48</v>
      </c>
      <c r="G175" s="6" t="s">
        <v>54</v>
      </c>
      <c r="H175" s="6" t="s">
        <v>49</v>
      </c>
      <c r="I175" s="6" t="s">
        <v>50</v>
      </c>
      <c r="J175" s="8" t="n">
        <v>3</v>
      </c>
      <c r="K175" s="9" t="n">
        <v>2300</v>
      </c>
      <c r="L175" s="9" t="n">
        <f aca="false">J175*K175</f>
        <v>6900</v>
      </c>
      <c r="M175" s="6" t="s">
        <v>23</v>
      </c>
      <c r="N175" s="8" t="s">
        <v>24</v>
      </c>
      <c r="O175" s="8" t="n">
        <v>5</v>
      </c>
    </row>
    <row r="176" customFormat="false" ht="15" hidden="false" customHeight="false" outlineLevel="0" collapsed="false">
      <c r="A176" s="2" t="s">
        <v>364</v>
      </c>
      <c r="B176" s="3" t="n">
        <v>45510</v>
      </c>
      <c r="C176" s="2" t="s">
        <v>339</v>
      </c>
      <c r="D176" s="2" t="s">
        <v>59</v>
      </c>
      <c r="E176" s="2" t="s">
        <v>47</v>
      </c>
      <c r="F176" s="2" t="s">
        <v>48</v>
      </c>
      <c r="G176" s="2" t="s">
        <v>54</v>
      </c>
      <c r="H176" s="2" t="s">
        <v>128</v>
      </c>
      <c r="I176" s="2" t="s">
        <v>129</v>
      </c>
      <c r="J176" s="4" t="n">
        <v>3</v>
      </c>
      <c r="K176" s="5" t="n">
        <v>500</v>
      </c>
      <c r="L176" s="5" t="n">
        <f aca="false">J176*K176</f>
        <v>1500</v>
      </c>
      <c r="M176" s="2" t="s">
        <v>66</v>
      </c>
      <c r="N176" s="4" t="s">
        <v>24</v>
      </c>
      <c r="O176" s="2"/>
    </row>
    <row r="177" customFormat="false" ht="15" hidden="false" customHeight="false" outlineLevel="0" collapsed="false">
      <c r="A177" s="6" t="s">
        <v>365</v>
      </c>
      <c r="B177" s="7" t="n">
        <v>45321</v>
      </c>
      <c r="C177" s="6" t="s">
        <v>119</v>
      </c>
      <c r="D177" s="6" t="s">
        <v>59</v>
      </c>
      <c r="E177" s="6" t="s">
        <v>47</v>
      </c>
      <c r="F177" s="6" t="s">
        <v>29</v>
      </c>
      <c r="G177" s="6" t="s">
        <v>30</v>
      </c>
      <c r="H177" s="6" t="s">
        <v>55</v>
      </c>
      <c r="I177" s="6" t="s">
        <v>56</v>
      </c>
      <c r="J177" s="8" t="n">
        <v>2</v>
      </c>
      <c r="K177" s="9" t="n">
        <v>800</v>
      </c>
      <c r="L177" s="9" t="n">
        <f aca="false">J177*K177</f>
        <v>1600</v>
      </c>
      <c r="M177" s="6" t="s">
        <v>23</v>
      </c>
      <c r="N177" s="8" t="s">
        <v>24</v>
      </c>
      <c r="O177" s="8" t="n">
        <v>5</v>
      </c>
    </row>
    <row r="178" customFormat="false" ht="15" hidden="false" customHeight="false" outlineLevel="0" collapsed="false">
      <c r="A178" s="2" t="s">
        <v>366</v>
      </c>
      <c r="B178" s="3" t="n">
        <v>45516</v>
      </c>
      <c r="C178" s="2" t="s">
        <v>217</v>
      </c>
      <c r="D178" s="2" t="s">
        <v>87</v>
      </c>
      <c r="E178" s="2" t="s">
        <v>87</v>
      </c>
      <c r="F178" s="2" t="s">
        <v>19</v>
      </c>
      <c r="G178" s="2" t="s">
        <v>30</v>
      </c>
      <c r="H178" s="2" t="s">
        <v>60</v>
      </c>
      <c r="I178" s="2" t="s">
        <v>32</v>
      </c>
      <c r="J178" s="4" t="n">
        <v>3</v>
      </c>
      <c r="K178" s="5" t="n">
        <v>9800</v>
      </c>
      <c r="L178" s="5" t="n">
        <f aca="false">J178*K178</f>
        <v>29400</v>
      </c>
      <c r="M178" s="2" t="s">
        <v>51</v>
      </c>
      <c r="N178" s="4" t="s">
        <v>41</v>
      </c>
      <c r="O178" s="2"/>
    </row>
    <row r="179" customFormat="false" ht="15" hidden="false" customHeight="false" outlineLevel="0" collapsed="false">
      <c r="A179" s="6" t="s">
        <v>367</v>
      </c>
      <c r="B179" s="7" t="n">
        <v>45370</v>
      </c>
      <c r="C179" s="6" t="s">
        <v>238</v>
      </c>
      <c r="D179" s="6" t="s">
        <v>59</v>
      </c>
      <c r="E179" s="6" t="s">
        <v>47</v>
      </c>
      <c r="F179" s="6" t="s">
        <v>48</v>
      </c>
      <c r="G179" s="6" t="s">
        <v>54</v>
      </c>
      <c r="H179" s="6" t="s">
        <v>144</v>
      </c>
      <c r="I179" s="6" t="s">
        <v>114</v>
      </c>
      <c r="J179" s="8" t="n">
        <v>2</v>
      </c>
      <c r="K179" s="9" t="n">
        <v>2500</v>
      </c>
      <c r="L179" s="9" t="n">
        <f aca="false">J179*K179</f>
        <v>5000</v>
      </c>
      <c r="M179" s="6" t="s">
        <v>23</v>
      </c>
      <c r="N179" s="8" t="s">
        <v>24</v>
      </c>
      <c r="O179" s="8" t="n">
        <v>5</v>
      </c>
    </row>
    <row r="180" customFormat="false" ht="15" hidden="false" customHeight="false" outlineLevel="0" collapsed="false">
      <c r="A180" s="2" t="s">
        <v>368</v>
      </c>
      <c r="B180" s="3" t="n">
        <v>45434</v>
      </c>
      <c r="C180" s="2" t="s">
        <v>97</v>
      </c>
      <c r="D180" s="2" t="s">
        <v>46</v>
      </c>
      <c r="E180" s="2" t="s">
        <v>47</v>
      </c>
      <c r="F180" s="2" t="s">
        <v>19</v>
      </c>
      <c r="G180" s="2" t="s">
        <v>30</v>
      </c>
      <c r="H180" s="2" t="s">
        <v>88</v>
      </c>
      <c r="I180" s="2" t="s">
        <v>89</v>
      </c>
      <c r="J180" s="4" t="n">
        <v>4</v>
      </c>
      <c r="K180" s="5" t="n">
        <v>1300</v>
      </c>
      <c r="L180" s="5" t="n">
        <f aca="false">J180*K180</f>
        <v>5200</v>
      </c>
      <c r="M180" s="2" t="s">
        <v>23</v>
      </c>
      <c r="N180" s="4" t="s">
        <v>24</v>
      </c>
      <c r="O180" s="4" t="n">
        <v>4</v>
      </c>
    </row>
    <row r="181" customFormat="false" ht="15" hidden="false" customHeight="false" outlineLevel="0" collapsed="false">
      <c r="A181" s="6" t="s">
        <v>369</v>
      </c>
      <c r="B181" s="7" t="n">
        <v>45652</v>
      </c>
      <c r="C181" s="6" t="s">
        <v>370</v>
      </c>
      <c r="D181" s="6" t="s">
        <v>17</v>
      </c>
      <c r="E181" s="6" t="s">
        <v>18</v>
      </c>
      <c r="F181" s="6" t="s">
        <v>48</v>
      </c>
      <c r="G181" s="6" t="s">
        <v>20</v>
      </c>
      <c r="H181" s="6" t="s">
        <v>49</v>
      </c>
      <c r="I181" s="6" t="s">
        <v>50</v>
      </c>
      <c r="J181" s="8" t="n">
        <v>2</v>
      </c>
      <c r="K181" s="9" t="n">
        <v>1600</v>
      </c>
      <c r="L181" s="9" t="n">
        <f aca="false">J181*K181</f>
        <v>3200</v>
      </c>
      <c r="M181" s="6" t="s">
        <v>66</v>
      </c>
      <c r="N181" s="8" t="s">
        <v>24</v>
      </c>
      <c r="O181" s="6"/>
    </row>
    <row r="182" customFormat="false" ht="15" hidden="false" customHeight="false" outlineLevel="0" collapsed="false">
      <c r="A182" s="2" t="s">
        <v>371</v>
      </c>
      <c r="B182" s="3" t="n">
        <v>45519</v>
      </c>
      <c r="C182" s="2" t="s">
        <v>372</v>
      </c>
      <c r="D182" s="2" t="s">
        <v>59</v>
      </c>
      <c r="E182" s="2" t="s">
        <v>47</v>
      </c>
      <c r="F182" s="2" t="s">
        <v>19</v>
      </c>
      <c r="G182" s="2" t="s">
        <v>30</v>
      </c>
      <c r="H182" s="2" t="s">
        <v>88</v>
      </c>
      <c r="I182" s="2" t="s">
        <v>89</v>
      </c>
      <c r="J182" s="4" t="n">
        <v>3</v>
      </c>
      <c r="K182" s="5" t="n">
        <v>900</v>
      </c>
      <c r="L182" s="5" t="n">
        <f aca="false">J182*K182</f>
        <v>2700</v>
      </c>
      <c r="M182" s="2" t="s">
        <v>40</v>
      </c>
      <c r="N182" s="4" t="s">
        <v>41</v>
      </c>
      <c r="O182" s="2"/>
    </row>
    <row r="183" customFormat="false" ht="15" hidden="false" customHeight="false" outlineLevel="0" collapsed="false">
      <c r="A183" s="6" t="s">
        <v>373</v>
      </c>
      <c r="B183" s="7" t="n">
        <v>45372</v>
      </c>
      <c r="C183" s="6" t="s">
        <v>374</v>
      </c>
      <c r="D183" s="6" t="s">
        <v>27</v>
      </c>
      <c r="E183" s="6" t="s">
        <v>28</v>
      </c>
      <c r="F183" s="6" t="s">
        <v>19</v>
      </c>
      <c r="G183" s="6" t="s">
        <v>20</v>
      </c>
      <c r="H183" s="6" t="s">
        <v>38</v>
      </c>
      <c r="I183" s="6" t="s">
        <v>39</v>
      </c>
      <c r="J183" s="8" t="n">
        <v>2</v>
      </c>
      <c r="K183" s="9" t="n">
        <v>5400</v>
      </c>
      <c r="L183" s="9" t="n">
        <f aca="false">J183*K183</f>
        <v>10800</v>
      </c>
      <c r="M183" s="6" t="s">
        <v>40</v>
      </c>
      <c r="N183" s="8" t="s">
        <v>41</v>
      </c>
      <c r="O183" s="6"/>
    </row>
    <row r="184" customFormat="false" ht="15" hidden="false" customHeight="false" outlineLevel="0" collapsed="false">
      <c r="A184" s="2" t="s">
        <v>375</v>
      </c>
      <c r="B184" s="3" t="n">
        <v>45544</v>
      </c>
      <c r="C184" s="2" t="s">
        <v>376</v>
      </c>
      <c r="D184" s="2" t="s">
        <v>59</v>
      </c>
      <c r="E184" s="2" t="s">
        <v>47</v>
      </c>
      <c r="F184" s="2" t="s">
        <v>48</v>
      </c>
      <c r="G184" s="2" t="s">
        <v>30</v>
      </c>
      <c r="H184" s="2" t="s">
        <v>21</v>
      </c>
      <c r="I184" s="2" t="s">
        <v>22</v>
      </c>
      <c r="J184" s="4" t="n">
        <v>5</v>
      </c>
      <c r="K184" s="5" t="n">
        <v>500</v>
      </c>
      <c r="L184" s="5" t="n">
        <f aca="false">J184*K184</f>
        <v>2500</v>
      </c>
      <c r="M184" s="2" t="s">
        <v>23</v>
      </c>
      <c r="N184" s="4" t="s">
        <v>24</v>
      </c>
      <c r="O184" s="4" t="n">
        <v>5</v>
      </c>
    </row>
    <row r="185" customFormat="false" ht="15" hidden="false" customHeight="false" outlineLevel="0" collapsed="false">
      <c r="A185" s="6" t="s">
        <v>377</v>
      </c>
      <c r="B185" s="7" t="n">
        <v>45537</v>
      </c>
      <c r="C185" s="6" t="s">
        <v>352</v>
      </c>
      <c r="D185" s="6" t="s">
        <v>76</v>
      </c>
      <c r="E185" s="6" t="s">
        <v>77</v>
      </c>
      <c r="F185" s="6" t="s">
        <v>29</v>
      </c>
      <c r="G185" s="6" t="s">
        <v>54</v>
      </c>
      <c r="H185" s="6" t="s">
        <v>21</v>
      </c>
      <c r="I185" s="6" t="s">
        <v>22</v>
      </c>
      <c r="J185" s="8" t="n">
        <v>3</v>
      </c>
      <c r="K185" s="9" t="n">
        <v>500</v>
      </c>
      <c r="L185" s="9" t="n">
        <f aca="false">J185*K185</f>
        <v>1500</v>
      </c>
      <c r="M185" s="6" t="s">
        <v>66</v>
      </c>
      <c r="N185" s="8" t="s">
        <v>24</v>
      </c>
      <c r="O185" s="6"/>
    </row>
    <row r="186" customFormat="false" ht="15" hidden="false" customHeight="false" outlineLevel="0" collapsed="false">
      <c r="A186" s="2" t="s">
        <v>378</v>
      </c>
      <c r="B186" s="3" t="n">
        <v>45556</v>
      </c>
      <c r="C186" s="2" t="s">
        <v>318</v>
      </c>
      <c r="D186" s="2" t="s">
        <v>63</v>
      </c>
      <c r="E186" s="2" t="s">
        <v>64</v>
      </c>
      <c r="F186" s="2" t="s">
        <v>19</v>
      </c>
      <c r="G186" s="2" t="s">
        <v>30</v>
      </c>
      <c r="H186" s="2" t="s">
        <v>88</v>
      </c>
      <c r="I186" s="2" t="s">
        <v>89</v>
      </c>
      <c r="J186" s="4" t="n">
        <v>1</v>
      </c>
      <c r="K186" s="5" t="n">
        <v>600</v>
      </c>
      <c r="L186" s="5" t="n">
        <f aca="false">J186*K186</f>
        <v>600</v>
      </c>
      <c r="M186" s="2" t="s">
        <v>51</v>
      </c>
      <c r="N186" s="4" t="s">
        <v>24</v>
      </c>
      <c r="O186" s="2"/>
    </row>
    <row r="187" customFormat="false" ht="15" hidden="false" customHeight="false" outlineLevel="0" collapsed="false">
      <c r="A187" s="6" t="s">
        <v>379</v>
      </c>
      <c r="B187" s="7" t="n">
        <v>45376</v>
      </c>
      <c r="C187" s="6" t="s">
        <v>374</v>
      </c>
      <c r="D187" s="6" t="s">
        <v>27</v>
      </c>
      <c r="E187" s="6" t="s">
        <v>28</v>
      </c>
      <c r="F187" s="6" t="s">
        <v>48</v>
      </c>
      <c r="G187" s="6" t="s">
        <v>30</v>
      </c>
      <c r="H187" s="6" t="s">
        <v>72</v>
      </c>
      <c r="I187" s="6" t="s">
        <v>73</v>
      </c>
      <c r="J187" s="8" t="n">
        <v>3</v>
      </c>
      <c r="K187" s="9" t="n">
        <v>600</v>
      </c>
      <c r="L187" s="9" t="n">
        <f aca="false">J187*K187</f>
        <v>1800</v>
      </c>
      <c r="M187" s="6" t="s">
        <v>23</v>
      </c>
      <c r="N187" s="8" t="s">
        <v>24</v>
      </c>
      <c r="O187" s="8" t="n">
        <v>5</v>
      </c>
    </row>
    <row r="188" customFormat="false" ht="15" hidden="false" customHeight="false" outlineLevel="0" collapsed="false">
      <c r="A188" s="2" t="s">
        <v>380</v>
      </c>
      <c r="B188" s="3" t="n">
        <v>45432</v>
      </c>
      <c r="C188" s="2" t="s">
        <v>127</v>
      </c>
      <c r="D188" s="2" t="s">
        <v>87</v>
      </c>
      <c r="E188" s="2" t="s">
        <v>87</v>
      </c>
      <c r="F188" s="2" t="s">
        <v>29</v>
      </c>
      <c r="G188" s="2" t="s">
        <v>30</v>
      </c>
      <c r="H188" s="2" t="s">
        <v>21</v>
      </c>
      <c r="I188" s="2" t="s">
        <v>22</v>
      </c>
      <c r="J188" s="4" t="n">
        <v>5</v>
      </c>
      <c r="K188" s="5" t="n">
        <v>600</v>
      </c>
      <c r="L188" s="5" t="n">
        <f aca="false">J188*K188</f>
        <v>3000</v>
      </c>
      <c r="M188" s="2" t="s">
        <v>23</v>
      </c>
      <c r="N188" s="4" t="s">
        <v>24</v>
      </c>
      <c r="O188" s="4" t="n">
        <v>5</v>
      </c>
    </row>
    <row r="189" customFormat="false" ht="15" hidden="false" customHeight="false" outlineLevel="0" collapsed="false">
      <c r="A189" s="6" t="s">
        <v>381</v>
      </c>
      <c r="B189" s="7" t="n">
        <v>45601</v>
      </c>
      <c r="C189" s="6" t="s">
        <v>220</v>
      </c>
      <c r="D189" s="6" t="s">
        <v>46</v>
      </c>
      <c r="E189" s="6" t="s">
        <v>47</v>
      </c>
      <c r="F189" s="6" t="s">
        <v>19</v>
      </c>
      <c r="G189" s="6" t="s">
        <v>54</v>
      </c>
      <c r="H189" s="6" t="s">
        <v>31</v>
      </c>
      <c r="I189" s="6" t="s">
        <v>32</v>
      </c>
      <c r="J189" s="8" t="n">
        <v>5</v>
      </c>
      <c r="K189" s="9" t="n">
        <v>3700</v>
      </c>
      <c r="L189" s="9" t="n">
        <f aca="false">J189*K189</f>
        <v>18500</v>
      </c>
      <c r="M189" s="6" t="s">
        <v>33</v>
      </c>
      <c r="N189" s="8" t="s">
        <v>24</v>
      </c>
      <c r="O189" s="6"/>
    </row>
    <row r="190" customFormat="false" ht="15" hidden="false" customHeight="false" outlineLevel="0" collapsed="false">
      <c r="A190" s="2" t="s">
        <v>382</v>
      </c>
      <c r="B190" s="3" t="n">
        <v>45584</v>
      </c>
      <c r="C190" s="2" t="s">
        <v>146</v>
      </c>
      <c r="D190" s="2" t="s">
        <v>46</v>
      </c>
      <c r="E190" s="2" t="s">
        <v>47</v>
      </c>
      <c r="F190" s="2" t="s">
        <v>48</v>
      </c>
      <c r="G190" s="2" t="s">
        <v>30</v>
      </c>
      <c r="H190" s="2" t="s">
        <v>88</v>
      </c>
      <c r="I190" s="2" t="s">
        <v>89</v>
      </c>
      <c r="J190" s="4" t="n">
        <v>3</v>
      </c>
      <c r="K190" s="5" t="n">
        <v>1500</v>
      </c>
      <c r="L190" s="5" t="n">
        <f aca="false">J190*K190</f>
        <v>4500</v>
      </c>
      <c r="M190" s="2" t="s">
        <v>23</v>
      </c>
      <c r="N190" s="4" t="s">
        <v>24</v>
      </c>
      <c r="O190" s="4" t="n">
        <v>5</v>
      </c>
    </row>
    <row r="191" customFormat="false" ht="15" hidden="false" customHeight="false" outlineLevel="0" collapsed="false">
      <c r="A191" s="6" t="s">
        <v>383</v>
      </c>
      <c r="B191" s="7" t="n">
        <v>45499</v>
      </c>
      <c r="C191" s="6" t="s">
        <v>121</v>
      </c>
      <c r="D191" s="6" t="s">
        <v>87</v>
      </c>
      <c r="E191" s="6" t="s">
        <v>87</v>
      </c>
      <c r="F191" s="6" t="s">
        <v>19</v>
      </c>
      <c r="G191" s="6" t="s">
        <v>20</v>
      </c>
      <c r="H191" s="6" t="s">
        <v>84</v>
      </c>
      <c r="I191" s="6" t="s">
        <v>32</v>
      </c>
      <c r="J191" s="8" t="n">
        <v>4</v>
      </c>
      <c r="K191" s="9" t="n">
        <v>2900</v>
      </c>
      <c r="L191" s="9" t="n">
        <f aca="false">J191*K191</f>
        <v>11600</v>
      </c>
      <c r="M191" s="6" t="s">
        <v>66</v>
      </c>
      <c r="N191" s="8" t="s">
        <v>24</v>
      </c>
      <c r="O191" s="6"/>
    </row>
    <row r="192" customFormat="false" ht="15" hidden="false" customHeight="false" outlineLevel="0" collapsed="false">
      <c r="A192" s="2" t="s">
        <v>384</v>
      </c>
      <c r="B192" s="3" t="n">
        <v>45602</v>
      </c>
      <c r="C192" s="2" t="s">
        <v>332</v>
      </c>
      <c r="D192" s="2" t="s">
        <v>59</v>
      </c>
      <c r="E192" s="2" t="s">
        <v>47</v>
      </c>
      <c r="F192" s="2" t="s">
        <v>48</v>
      </c>
      <c r="G192" s="2" t="s">
        <v>30</v>
      </c>
      <c r="H192" s="2" t="s">
        <v>21</v>
      </c>
      <c r="I192" s="2" t="s">
        <v>22</v>
      </c>
      <c r="J192" s="4" t="n">
        <v>3</v>
      </c>
      <c r="K192" s="5" t="n">
        <v>1200</v>
      </c>
      <c r="L192" s="5" t="n">
        <f aca="false">J192*K192</f>
        <v>3600</v>
      </c>
      <c r="M192" s="2" t="s">
        <v>51</v>
      </c>
      <c r="N192" s="4" t="s">
        <v>24</v>
      </c>
      <c r="O192" s="2"/>
    </row>
    <row r="193" customFormat="false" ht="15" hidden="false" customHeight="false" outlineLevel="0" collapsed="false">
      <c r="A193" s="6" t="s">
        <v>385</v>
      </c>
      <c r="B193" s="7" t="n">
        <v>45415</v>
      </c>
      <c r="C193" s="6" t="s">
        <v>285</v>
      </c>
      <c r="D193" s="6" t="s">
        <v>17</v>
      </c>
      <c r="E193" s="6" t="s">
        <v>18</v>
      </c>
      <c r="F193" s="6" t="s">
        <v>48</v>
      </c>
      <c r="G193" s="6" t="s">
        <v>20</v>
      </c>
      <c r="H193" s="6" t="s">
        <v>21</v>
      </c>
      <c r="I193" s="6" t="s">
        <v>22</v>
      </c>
      <c r="J193" s="8" t="n">
        <v>1</v>
      </c>
      <c r="K193" s="9" t="n">
        <v>400</v>
      </c>
      <c r="L193" s="9" t="n">
        <f aca="false">J193*K193</f>
        <v>400</v>
      </c>
      <c r="M193" s="6" t="s">
        <v>23</v>
      </c>
      <c r="N193" s="8" t="s">
        <v>24</v>
      </c>
      <c r="O193" s="8" t="n">
        <v>5</v>
      </c>
    </row>
    <row r="194" customFormat="false" ht="15" hidden="false" customHeight="false" outlineLevel="0" collapsed="false">
      <c r="A194" s="2" t="s">
        <v>386</v>
      </c>
      <c r="B194" s="3" t="n">
        <v>45506</v>
      </c>
      <c r="C194" s="2" t="s">
        <v>161</v>
      </c>
      <c r="D194" s="2" t="s">
        <v>59</v>
      </c>
      <c r="E194" s="2" t="s">
        <v>47</v>
      </c>
      <c r="F194" s="2" t="s">
        <v>29</v>
      </c>
      <c r="G194" s="2" t="s">
        <v>30</v>
      </c>
      <c r="H194" s="2" t="s">
        <v>60</v>
      </c>
      <c r="I194" s="2" t="s">
        <v>32</v>
      </c>
      <c r="J194" s="4" t="n">
        <v>2</v>
      </c>
      <c r="K194" s="5" t="n">
        <v>6900</v>
      </c>
      <c r="L194" s="5" t="n">
        <f aca="false">J194*K194</f>
        <v>13800</v>
      </c>
      <c r="M194" s="2" t="s">
        <v>66</v>
      </c>
      <c r="N194" s="4" t="s">
        <v>24</v>
      </c>
      <c r="O194" s="2"/>
    </row>
    <row r="195" customFormat="false" ht="15" hidden="false" customHeight="false" outlineLevel="0" collapsed="false">
      <c r="A195" s="6" t="s">
        <v>387</v>
      </c>
      <c r="B195" s="7" t="n">
        <v>45531</v>
      </c>
      <c r="C195" s="6" t="s">
        <v>388</v>
      </c>
      <c r="D195" s="6" t="s">
        <v>36</v>
      </c>
      <c r="E195" s="6" t="s">
        <v>37</v>
      </c>
      <c r="F195" s="6" t="s">
        <v>19</v>
      </c>
      <c r="G195" s="6" t="s">
        <v>54</v>
      </c>
      <c r="H195" s="6" t="s">
        <v>110</v>
      </c>
      <c r="I195" s="6" t="s">
        <v>22</v>
      </c>
      <c r="J195" s="8" t="n">
        <v>5</v>
      </c>
      <c r="K195" s="9" t="n">
        <v>500</v>
      </c>
      <c r="L195" s="9" t="n">
        <f aca="false">J195*K195</f>
        <v>2500</v>
      </c>
      <c r="M195" s="6" t="s">
        <v>23</v>
      </c>
      <c r="N195" s="8" t="s">
        <v>24</v>
      </c>
      <c r="O195" s="8" t="n">
        <v>4</v>
      </c>
    </row>
    <row r="196" customFormat="false" ht="15" hidden="false" customHeight="false" outlineLevel="0" collapsed="false">
      <c r="A196" s="2" t="s">
        <v>389</v>
      </c>
      <c r="B196" s="3" t="n">
        <v>45316</v>
      </c>
      <c r="C196" s="2" t="s">
        <v>207</v>
      </c>
      <c r="D196" s="2" t="s">
        <v>36</v>
      </c>
      <c r="E196" s="2" t="s">
        <v>37</v>
      </c>
      <c r="F196" s="2" t="s">
        <v>29</v>
      </c>
      <c r="G196" s="2" t="s">
        <v>30</v>
      </c>
      <c r="H196" s="2" t="s">
        <v>55</v>
      </c>
      <c r="I196" s="2" t="s">
        <v>56</v>
      </c>
      <c r="J196" s="4" t="n">
        <v>4</v>
      </c>
      <c r="K196" s="5" t="n">
        <v>1700</v>
      </c>
      <c r="L196" s="5" t="n">
        <f aca="false">J196*K196</f>
        <v>6800</v>
      </c>
      <c r="M196" s="2" t="s">
        <v>51</v>
      </c>
      <c r="N196" s="4" t="s">
        <v>41</v>
      </c>
      <c r="O196" s="2"/>
    </row>
    <row r="197" customFormat="false" ht="15" hidden="false" customHeight="false" outlineLevel="0" collapsed="false">
      <c r="A197" s="6" t="s">
        <v>390</v>
      </c>
      <c r="B197" s="7" t="n">
        <v>45347</v>
      </c>
      <c r="C197" s="6" t="s">
        <v>391</v>
      </c>
      <c r="D197" s="6" t="s">
        <v>17</v>
      </c>
      <c r="E197" s="6" t="s">
        <v>18</v>
      </c>
      <c r="F197" s="6" t="s">
        <v>48</v>
      </c>
      <c r="G197" s="6" t="s">
        <v>30</v>
      </c>
      <c r="H197" s="6" t="s">
        <v>60</v>
      </c>
      <c r="I197" s="6" t="s">
        <v>32</v>
      </c>
      <c r="J197" s="8" t="n">
        <v>1</v>
      </c>
      <c r="K197" s="9" t="n">
        <v>10000</v>
      </c>
      <c r="L197" s="9" t="n">
        <f aca="false">J197*K197</f>
        <v>10000</v>
      </c>
      <c r="M197" s="6" t="s">
        <v>23</v>
      </c>
      <c r="N197" s="8" t="s">
        <v>24</v>
      </c>
      <c r="O197" s="8" t="n">
        <v>3</v>
      </c>
    </row>
    <row r="198" customFormat="false" ht="15" hidden="false" customHeight="false" outlineLevel="0" collapsed="false">
      <c r="A198" s="2" t="s">
        <v>392</v>
      </c>
      <c r="B198" s="3" t="n">
        <v>45477</v>
      </c>
      <c r="C198" s="2" t="s">
        <v>75</v>
      </c>
      <c r="D198" s="2" t="s">
        <v>87</v>
      </c>
      <c r="E198" s="2" t="s">
        <v>87</v>
      </c>
      <c r="F198" s="2" t="s">
        <v>48</v>
      </c>
      <c r="G198" s="2" t="s">
        <v>30</v>
      </c>
      <c r="H198" s="2" t="s">
        <v>84</v>
      </c>
      <c r="I198" s="2" t="s">
        <v>32</v>
      </c>
      <c r="J198" s="4" t="n">
        <v>5</v>
      </c>
      <c r="K198" s="5" t="n">
        <v>2200</v>
      </c>
      <c r="L198" s="5" t="n">
        <f aca="false">J198*K198</f>
        <v>11000</v>
      </c>
      <c r="M198" s="2" t="s">
        <v>40</v>
      </c>
      <c r="N198" s="4" t="s">
        <v>41</v>
      </c>
      <c r="O198" s="2"/>
    </row>
    <row r="199" customFormat="false" ht="15" hidden="false" customHeight="false" outlineLevel="0" collapsed="false">
      <c r="A199" s="6" t="s">
        <v>393</v>
      </c>
      <c r="B199" s="7" t="n">
        <v>45611</v>
      </c>
      <c r="C199" s="6" t="s">
        <v>394</v>
      </c>
      <c r="D199" s="6" t="s">
        <v>63</v>
      </c>
      <c r="E199" s="6" t="s">
        <v>64</v>
      </c>
      <c r="F199" s="6" t="s">
        <v>19</v>
      </c>
      <c r="G199" s="6" t="s">
        <v>30</v>
      </c>
      <c r="H199" s="6" t="s">
        <v>60</v>
      </c>
      <c r="I199" s="6" t="s">
        <v>32</v>
      </c>
      <c r="J199" s="8" t="n">
        <v>3</v>
      </c>
      <c r="K199" s="9" t="n">
        <v>12000</v>
      </c>
      <c r="L199" s="9" t="n">
        <f aca="false">J199*K199</f>
        <v>36000</v>
      </c>
      <c r="M199" s="6" t="s">
        <v>23</v>
      </c>
      <c r="N199" s="8" t="s">
        <v>24</v>
      </c>
      <c r="O199" s="8" t="n">
        <v>3</v>
      </c>
    </row>
    <row r="200" customFormat="false" ht="15" hidden="false" customHeight="false" outlineLevel="0" collapsed="false">
      <c r="A200" s="2" t="s">
        <v>395</v>
      </c>
      <c r="B200" s="3" t="n">
        <v>45600</v>
      </c>
      <c r="C200" s="2" t="s">
        <v>352</v>
      </c>
      <c r="D200" s="2" t="s">
        <v>46</v>
      </c>
      <c r="E200" s="2" t="s">
        <v>47</v>
      </c>
      <c r="F200" s="2" t="s">
        <v>19</v>
      </c>
      <c r="G200" s="2" t="s">
        <v>54</v>
      </c>
      <c r="H200" s="2" t="s">
        <v>21</v>
      </c>
      <c r="I200" s="2" t="s">
        <v>22</v>
      </c>
      <c r="J200" s="4" t="n">
        <v>3</v>
      </c>
      <c r="K200" s="5" t="n">
        <v>1100</v>
      </c>
      <c r="L200" s="5" t="n">
        <f aca="false">J200*K200</f>
        <v>3300</v>
      </c>
      <c r="M200" s="2" t="s">
        <v>51</v>
      </c>
      <c r="N200" s="4" t="s">
        <v>24</v>
      </c>
      <c r="O200" s="2"/>
    </row>
    <row r="201" customFormat="false" ht="15" hidden="false" customHeight="false" outlineLevel="0" collapsed="false">
      <c r="A201" s="6" t="s">
        <v>396</v>
      </c>
      <c r="B201" s="7" t="n">
        <v>45602</v>
      </c>
      <c r="C201" s="6" t="s">
        <v>235</v>
      </c>
      <c r="D201" s="6" t="s">
        <v>59</v>
      </c>
      <c r="E201" s="6" t="s">
        <v>47</v>
      </c>
      <c r="F201" s="6" t="s">
        <v>29</v>
      </c>
      <c r="G201" s="6" t="s">
        <v>20</v>
      </c>
      <c r="H201" s="6" t="s">
        <v>21</v>
      </c>
      <c r="I201" s="6" t="s">
        <v>22</v>
      </c>
      <c r="J201" s="8" t="n">
        <v>4</v>
      </c>
      <c r="K201" s="9" t="n">
        <v>800</v>
      </c>
      <c r="L201" s="9" t="n">
        <f aca="false">J201*K201</f>
        <v>3200</v>
      </c>
      <c r="M201" s="6" t="s">
        <v>51</v>
      </c>
      <c r="N201" s="8" t="s">
        <v>24</v>
      </c>
      <c r="O201" s="6"/>
    </row>
  </sheetData>
  <autoFilter ref="A1:O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0" t="s">
        <v>397</v>
      </c>
    </row>
    <row r="3" customFormat="false" ht="15" hidden="false" customHeight="false" outlineLevel="0" collapsed="false">
      <c r="A3" s="11" t="s">
        <v>398</v>
      </c>
    </row>
    <row r="5" customFormat="false" ht="15" hidden="false" customHeight="false" outlineLevel="0" collapsed="false">
      <c r="A5" s="12" t="s">
        <v>399</v>
      </c>
      <c r="B5" s="13" t="n">
        <f aca="false">COUNTA(Orders!A2:A1000)</f>
        <v>200</v>
      </c>
    </row>
    <row r="6" customFormat="false" ht="15" hidden="false" customHeight="false" outlineLevel="0" collapsed="false">
      <c r="A6" s="12" t="s">
        <v>11</v>
      </c>
      <c r="B6" s="14" t="n">
        <f aca="false">SUM(Orders!L2:L1000)</f>
        <v>1611500</v>
      </c>
    </row>
    <row r="7" customFormat="false" ht="15" hidden="false" customHeight="false" outlineLevel="0" collapsed="false">
      <c r="A7" s="12" t="s">
        <v>400</v>
      </c>
      <c r="B7" s="14" t="n">
        <f aca="false">AVERAGE(Orders!L2:L1000)</f>
        <v>8057.5</v>
      </c>
    </row>
    <row r="8" customFormat="false" ht="15" hidden="false" customHeight="false" outlineLevel="0" collapsed="false">
      <c r="A8" s="12" t="s">
        <v>401</v>
      </c>
      <c r="B8" s="13" t="n">
        <f aca="false">SUMPRODUCT(1/COUNTIF(Orders!C2:C201,Orders!C2:C201))</f>
        <v>131</v>
      </c>
    </row>
    <row r="9" customFormat="false" ht="15" hidden="false" customHeight="false" outlineLevel="0" collapsed="false">
      <c r="A9" s="12" t="s">
        <v>402</v>
      </c>
      <c r="B9" s="13" t="n">
        <f aca="false">COUNTIF(Orders!M2:M1000,"Delivered")</f>
        <v>97</v>
      </c>
    </row>
    <row r="10" customFormat="false" ht="15" hidden="false" customHeight="false" outlineLevel="0" collapsed="false">
      <c r="A10" s="12" t="s">
        <v>403</v>
      </c>
      <c r="B10" s="15" t="n">
        <f aca="false">COUNTIF(Orders!N2:N1000,"Yes")/COUNTA(Orders!A2:A1000)</f>
        <v>0.145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2026-04-06T18:55:32Z</dcterms:created>
  <dc:creator>openpyxl</dc:creator>
  <dc:description/>
  <dc:language>en-US</dc:language>
  <cp:lastModifiedBy/>
  <dcterms:modified xsi:type="dcterms:W3CDTF">2026-04-06T18:55:32Z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